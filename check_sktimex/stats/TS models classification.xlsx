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.github\python_projects\check_sktimex\"/>
    </mc:Choice>
  </mc:AlternateContent>
  <xr:revisionPtr revIDLastSave="0" documentId="13_ncr:1_{C83825EC-B7B8-4060-A058-E80CA2FC4261}" xr6:coauthVersionLast="47" xr6:coauthVersionMax="47" xr10:uidLastSave="{00000000-0000-0000-0000-000000000000}"/>
  <bookViews>
    <workbookView xWindow="6615" yWindow="2310" windowWidth="16380" windowHeight="13110" xr2:uid="{BEE0EC04-D849-455D-B7C5-3E9BA1007C5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" i="1" l="1"/>
  <c r="K107" i="1"/>
  <c r="L107" i="1" s="1"/>
  <c r="K106" i="1"/>
  <c r="C119" i="1"/>
  <c r="J119" i="1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L113" i="1"/>
  <c r="L79" i="1"/>
  <c r="C2" i="2"/>
  <c r="H119" i="1"/>
  <c r="I119" i="1"/>
  <c r="K118" i="1"/>
  <c r="K117" i="1"/>
  <c r="K116" i="1"/>
  <c r="K115" i="1"/>
  <c r="K114" i="1"/>
  <c r="K113" i="1"/>
  <c r="K112" i="1"/>
  <c r="K111" i="1"/>
  <c r="K110" i="1"/>
  <c r="K109" i="1"/>
  <c r="K108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L57" i="1" s="1"/>
  <c r="K24" i="1"/>
  <c r="K23" i="1"/>
  <c r="K22" i="1"/>
  <c r="K21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F119" i="1"/>
  <c r="I120" i="1" s="1"/>
  <c r="G119" i="1"/>
  <c r="E119" i="1"/>
  <c r="D119" i="1"/>
  <c r="L24" i="1" l="1"/>
  <c r="L119" i="1" s="1"/>
  <c r="K119" i="1"/>
</calcChain>
</file>

<file path=xl/sharedStrings.xml><?xml version="1.0" encoding="utf-8"?>
<sst xmlns="http://schemas.openxmlformats.org/spreadsheetml/2006/main" count="481" uniqueCount="135">
  <si>
    <t>model</t>
  </si>
  <si>
    <t>library</t>
  </si>
  <si>
    <t>darts</t>
  </si>
  <si>
    <t>ARIMA</t>
  </si>
  <si>
    <t>BlockRNNModel</t>
  </si>
  <si>
    <t>CatBoostModel</t>
  </si>
  <si>
    <t>DLinearModel</t>
  </si>
  <si>
    <t>ExponentialSmoothing</t>
  </si>
  <si>
    <t>FFT</t>
  </si>
  <si>
    <t>FourTheta</t>
  </si>
  <si>
    <t>KalmanForecaster</t>
  </si>
  <si>
    <t>LightGBMModel</t>
  </si>
  <si>
    <t>LinearRegressionModel</t>
  </si>
  <si>
    <t>NBEATSModel</t>
  </si>
  <si>
    <t>NHiTSModel</t>
  </si>
  <si>
    <t>NLinearModel</t>
  </si>
  <si>
    <t>RandomForestModel</t>
  </si>
  <si>
    <t>RNNModel</t>
  </si>
  <si>
    <t>SKLearnModel</t>
  </si>
  <si>
    <t>TCNModel</t>
  </si>
  <si>
    <t>Theta</t>
  </si>
  <si>
    <t>TiDEModel</t>
  </si>
  <si>
    <t>TransformerModel</t>
  </si>
  <si>
    <t>TSMixerModel</t>
  </si>
  <si>
    <t>XGBModel</t>
  </si>
  <si>
    <t>nf</t>
  </si>
  <si>
    <t>Autoformer</t>
  </si>
  <si>
    <t>BiTCN</t>
  </si>
  <si>
    <t>DeepAR</t>
  </si>
  <si>
    <t>DeepNPTS</t>
  </si>
  <si>
    <t>DilatedRNN</t>
  </si>
  <si>
    <t>DLinear</t>
  </si>
  <si>
    <t>FEDformer</t>
  </si>
  <si>
    <t>GRU</t>
  </si>
  <si>
    <t>Informer</t>
  </si>
  <si>
    <t>iTransformer</t>
  </si>
  <si>
    <t>KAN</t>
  </si>
  <si>
    <t>LSTM</t>
  </si>
  <si>
    <t>MLP</t>
  </si>
  <si>
    <t>MLPMultivariate</t>
  </si>
  <si>
    <t>NBEATS</t>
  </si>
  <si>
    <t>NBEATSx</t>
  </si>
  <si>
    <t>NHITS</t>
  </si>
  <si>
    <t>NLinear</t>
  </si>
  <si>
    <t>PatchTST</t>
  </si>
  <si>
    <t>RMoK</t>
  </si>
  <si>
    <t>RNN</t>
  </si>
  <si>
    <t>SOFTS</t>
  </si>
  <si>
    <t>StemGNN</t>
  </si>
  <si>
    <t>TCN</t>
  </si>
  <si>
    <t>TFT</t>
  </si>
  <si>
    <t>TiDE</t>
  </si>
  <si>
    <t>TimeMixer</t>
  </si>
  <si>
    <t>TimesNet</t>
  </si>
  <si>
    <t>TimeXer</t>
  </si>
  <si>
    <t>TSMixer</t>
  </si>
  <si>
    <t>TSMixerx</t>
  </si>
  <si>
    <t>VanillaTransformer</t>
  </si>
  <si>
    <t>xLSTM</t>
  </si>
  <si>
    <t>skl</t>
  </si>
  <si>
    <t>CatBoostRegressor</t>
  </si>
  <si>
    <t>DecisionTreeRegressor</t>
  </si>
  <si>
    <t>ExtraTreeRegressor</t>
  </si>
  <si>
    <t>ExtraTreesRegressor</t>
  </si>
  <si>
    <t>GammaRegressor</t>
  </si>
  <si>
    <t>GaussianProcessRegressor</t>
  </si>
  <si>
    <t>GradientBoostingRegressor</t>
  </si>
  <si>
    <t>HistGradientBoostingRegressor</t>
  </si>
  <si>
    <t>HuberRegressor</t>
  </si>
  <si>
    <t>KNeighborsRegressor</t>
  </si>
  <si>
    <t>LGBMRegressor</t>
  </si>
  <si>
    <t>LinearRegression</t>
  </si>
  <si>
    <t>MLPRegressor</t>
  </si>
  <si>
    <t>PassiveAggressiveRegressor</t>
  </si>
  <si>
    <t>PoissonRegressor</t>
  </si>
  <si>
    <t>QuantileRegressor</t>
  </si>
  <si>
    <t>RadiusNeighborsRegressor</t>
  </si>
  <si>
    <t>RandomForestRegressor</t>
  </si>
  <si>
    <t>SGDRegressor</t>
  </si>
  <si>
    <t>TheilSenRegressor</t>
  </si>
  <si>
    <t>TweedieRegressor</t>
  </si>
  <si>
    <t>XGBRegressor</t>
  </si>
  <si>
    <t>skt</t>
  </si>
  <si>
    <t>ARDL</t>
  </si>
  <si>
    <t>AutoETS</t>
  </si>
  <si>
    <t>AutoREG</t>
  </si>
  <si>
    <t>AutoTS</t>
  </si>
  <si>
    <t>Croston</t>
  </si>
  <si>
    <t>DartsLinearRegressionModel</t>
  </si>
  <si>
    <t>DartsRegressionModel</t>
  </si>
  <si>
    <t>DartsXGBModel</t>
  </si>
  <si>
    <t>ESRNNForecaster</t>
  </si>
  <si>
    <t>LTSFDLinearForecaster</t>
  </si>
  <si>
    <t>LTSFLinearForecaster</t>
  </si>
  <si>
    <t>LTSFNLinearForecaster</t>
  </si>
  <si>
    <t>LTSFTransformerForecaster</t>
  </si>
  <si>
    <t>MAPAForecaster</t>
  </si>
  <si>
    <t>RBFForecaster</t>
  </si>
  <si>
    <t>SARIMAX</t>
  </si>
  <si>
    <t>SCINetForecaster</t>
  </si>
  <si>
    <t>StatsForecastADIDA</t>
  </si>
  <si>
    <t>StatsForecastAutoARIMA</t>
  </si>
  <si>
    <t>StatsForecastAutoCES</t>
  </si>
  <si>
    <t>StatsForecastAutoETS</t>
  </si>
  <si>
    <t>StatsForecastAutoTBATS</t>
  </si>
  <si>
    <t>StatsForecastAutoTheta</t>
  </si>
  <si>
    <t>StatsForecastMSTL</t>
  </si>
  <si>
    <t>ThetaForecaster</t>
  </si>
  <si>
    <t>skx</t>
  </si>
  <si>
    <t>MeanForecaster</t>
  </si>
  <si>
    <t>MedianForecaster</t>
  </si>
  <si>
    <t>reducer</t>
  </si>
  <si>
    <t>regressor</t>
  </si>
  <si>
    <t>sklearn</t>
  </si>
  <si>
    <t>stf</t>
  </si>
  <si>
    <t>AutoARIMA</t>
  </si>
  <si>
    <t>AutoCES</t>
  </si>
  <si>
    <t>AutoTBATS</t>
  </si>
  <si>
    <t>AutoTheta</t>
  </si>
  <si>
    <t>datasets</t>
  </si>
  <si>
    <t>rnn</t>
  </si>
  <si>
    <t>cnn</t>
  </si>
  <si>
    <t>lin</t>
  </si>
  <si>
    <t>models</t>
  </si>
  <si>
    <t>total</t>
  </si>
  <si>
    <t>misc</t>
  </si>
  <si>
    <t>count</t>
  </si>
  <si>
    <t>reg</t>
  </si>
  <si>
    <t>stat</t>
  </si>
  <si>
    <t>transf</t>
  </si>
  <si>
    <t>class</t>
  </si>
  <si>
    <t>TFTModel</t>
  </si>
  <si>
    <t>chronos</t>
  </si>
  <si>
    <t>tirex</t>
  </si>
  <si>
    <t>excluded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</si>
</sst>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0" borderId="0" xfId="0" applyFont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793BE-DDDC-45A0-A460-91E4104F57E7}">
  <dimension ref="A1:M120"/>
  <sheetViews>
    <sheetView tabSelected="1" workbookViewId="0">
      <pane ySplit="1" topLeftCell="A98" activePane="bottomLeft" state="frozen"/>
      <selection pane="bottomLeft" activeCell="I119" sqref="I119"/>
    </sheetView>
  </sheetViews>
  <sheetFormatPr defaultRowHeight="15" x14ac:dyDescent="0.25"/>
  <cols>
    <col min="2" max="2" width="27.7109375" customWidth="1"/>
    <col min="3" max="3" width="6.85546875" customWidth="1"/>
    <col min="4" max="5" width="5.28515625" customWidth="1"/>
    <col min="6" max="6" width="13.28515625" customWidth="1"/>
    <col min="10" max="10" width="10.7109375" customWidth="1"/>
  </cols>
  <sheetData>
    <row r="1" spans="1:11" x14ac:dyDescent="0.25">
      <c r="A1" t="s">
        <v>1</v>
      </c>
      <c r="B1" t="s">
        <v>0</v>
      </c>
      <c r="C1" t="s">
        <v>122</v>
      </c>
      <c r="D1" t="s">
        <v>120</v>
      </c>
      <c r="E1" t="s">
        <v>121</v>
      </c>
      <c r="F1" t="s">
        <v>129</v>
      </c>
      <c r="G1" t="s">
        <v>128</v>
      </c>
      <c r="H1" t="s">
        <v>127</v>
      </c>
      <c r="I1" t="s">
        <v>125</v>
      </c>
      <c r="J1" t="s">
        <v>119</v>
      </c>
      <c r="K1" t="s">
        <v>126</v>
      </c>
    </row>
    <row r="2" spans="1:11" x14ac:dyDescent="0.25">
      <c r="A2" s="2" t="s">
        <v>2</v>
      </c>
      <c r="B2" t="s">
        <v>3</v>
      </c>
      <c r="G2">
        <v>1</v>
      </c>
      <c r="J2">
        <v>31</v>
      </c>
      <c r="K2">
        <f t="shared" ref="K2:K9" si="0">SUM(C2:I2)</f>
        <v>1</v>
      </c>
    </row>
    <row r="3" spans="1:11" x14ac:dyDescent="0.25">
      <c r="A3" t="s">
        <v>2</v>
      </c>
      <c r="B3" t="s">
        <v>4</v>
      </c>
      <c r="D3">
        <v>1</v>
      </c>
      <c r="J3">
        <v>31</v>
      </c>
      <c r="K3">
        <f t="shared" si="0"/>
        <v>1</v>
      </c>
    </row>
    <row r="4" spans="1:11" x14ac:dyDescent="0.25">
      <c r="A4" t="s">
        <v>2</v>
      </c>
      <c r="B4" t="s">
        <v>5</v>
      </c>
      <c r="H4">
        <v>1</v>
      </c>
      <c r="J4" s="1">
        <v>30</v>
      </c>
      <c r="K4">
        <f t="shared" si="0"/>
        <v>1</v>
      </c>
    </row>
    <row r="5" spans="1:11" x14ac:dyDescent="0.25">
      <c r="A5" t="s">
        <v>2</v>
      </c>
      <c r="B5" t="s">
        <v>6</v>
      </c>
      <c r="C5">
        <v>1</v>
      </c>
      <c r="J5">
        <v>31</v>
      </c>
      <c r="K5">
        <f t="shared" si="0"/>
        <v>1</v>
      </c>
    </row>
    <row r="6" spans="1:11" x14ac:dyDescent="0.25">
      <c r="A6" t="s">
        <v>2</v>
      </c>
      <c r="B6" t="s">
        <v>7</v>
      </c>
      <c r="G6">
        <v>1</v>
      </c>
      <c r="J6">
        <v>31</v>
      </c>
      <c r="K6">
        <f t="shared" si="0"/>
        <v>1</v>
      </c>
    </row>
    <row r="7" spans="1:11" x14ac:dyDescent="0.25">
      <c r="A7" t="s">
        <v>2</v>
      </c>
      <c r="B7" t="s">
        <v>8</v>
      </c>
      <c r="I7">
        <v>1</v>
      </c>
      <c r="J7">
        <v>31</v>
      </c>
      <c r="K7">
        <f t="shared" si="0"/>
        <v>1</v>
      </c>
    </row>
    <row r="8" spans="1:11" x14ac:dyDescent="0.25">
      <c r="A8" t="s">
        <v>2</v>
      </c>
      <c r="B8" t="s">
        <v>9</v>
      </c>
      <c r="G8">
        <v>1</v>
      </c>
      <c r="J8">
        <v>31</v>
      </c>
      <c r="K8">
        <f t="shared" si="0"/>
        <v>1</v>
      </c>
    </row>
    <row r="9" spans="1:11" x14ac:dyDescent="0.25">
      <c r="A9" t="s">
        <v>2</v>
      </c>
      <c r="B9" t="s">
        <v>10</v>
      </c>
      <c r="G9">
        <v>1</v>
      </c>
      <c r="J9">
        <v>31</v>
      </c>
      <c r="K9">
        <f t="shared" si="0"/>
        <v>1</v>
      </c>
    </row>
    <row r="10" spans="1:11" x14ac:dyDescent="0.25">
      <c r="A10" t="s">
        <v>2</v>
      </c>
      <c r="B10" t="s">
        <v>11</v>
      </c>
      <c r="H10">
        <v>1</v>
      </c>
      <c r="J10">
        <v>31</v>
      </c>
      <c r="K10">
        <f>SUM(C10:H10)</f>
        <v>1</v>
      </c>
    </row>
    <row r="11" spans="1:11" x14ac:dyDescent="0.25">
      <c r="A11" t="s">
        <v>2</v>
      </c>
      <c r="B11" t="s">
        <v>12</v>
      </c>
      <c r="H11">
        <v>1</v>
      </c>
      <c r="J11">
        <v>31</v>
      </c>
      <c r="K11">
        <f>SUM(C11:I11)</f>
        <v>1</v>
      </c>
    </row>
    <row r="12" spans="1:11" x14ac:dyDescent="0.25">
      <c r="A12" t="s">
        <v>2</v>
      </c>
      <c r="B12" t="s">
        <v>13</v>
      </c>
      <c r="C12">
        <v>1</v>
      </c>
      <c r="J12">
        <v>31</v>
      </c>
      <c r="K12">
        <f>SUM(C12:I12)</f>
        <v>1</v>
      </c>
    </row>
    <row r="13" spans="1:11" x14ac:dyDescent="0.25">
      <c r="A13" t="s">
        <v>2</v>
      </c>
      <c r="B13" t="s">
        <v>14</v>
      </c>
      <c r="C13">
        <v>1</v>
      </c>
      <c r="J13">
        <v>31</v>
      </c>
      <c r="K13">
        <f>SUM(C13:I13)</f>
        <v>1</v>
      </c>
    </row>
    <row r="14" spans="1:11" x14ac:dyDescent="0.25">
      <c r="A14" t="s">
        <v>2</v>
      </c>
      <c r="B14" t="s">
        <v>15</v>
      </c>
      <c r="C14">
        <v>1</v>
      </c>
      <c r="J14">
        <v>31</v>
      </c>
      <c r="K14">
        <f>SUM(C14:I14)</f>
        <v>1</v>
      </c>
    </row>
    <row r="15" spans="1:11" x14ac:dyDescent="0.25">
      <c r="A15" t="s">
        <v>2</v>
      </c>
      <c r="B15" t="s">
        <v>16</v>
      </c>
      <c r="H15">
        <v>1</v>
      </c>
      <c r="J15">
        <v>31</v>
      </c>
      <c r="K15">
        <f>SUM(C15:H15)</f>
        <v>1</v>
      </c>
    </row>
    <row r="16" spans="1:11" x14ac:dyDescent="0.25">
      <c r="A16" t="s">
        <v>2</v>
      </c>
      <c r="B16" t="s">
        <v>17</v>
      </c>
      <c r="D16">
        <v>1</v>
      </c>
      <c r="J16">
        <v>31</v>
      </c>
      <c r="K16">
        <f t="shared" ref="K16:K48" si="1">SUM(C16:I16)</f>
        <v>1</v>
      </c>
    </row>
    <row r="17" spans="1:13" x14ac:dyDescent="0.25">
      <c r="A17" t="s">
        <v>2</v>
      </c>
      <c r="B17" t="s">
        <v>18</v>
      </c>
      <c r="H17">
        <v>1</v>
      </c>
      <c r="J17">
        <v>31</v>
      </c>
      <c r="K17">
        <f t="shared" si="1"/>
        <v>1</v>
      </c>
    </row>
    <row r="18" spans="1:13" x14ac:dyDescent="0.25">
      <c r="A18" t="s">
        <v>2</v>
      </c>
      <c r="B18" t="s">
        <v>19</v>
      </c>
      <c r="E18">
        <v>1</v>
      </c>
      <c r="J18">
        <v>31</v>
      </c>
      <c r="K18">
        <f t="shared" si="1"/>
        <v>1</v>
      </c>
    </row>
    <row r="19" spans="1:13" x14ac:dyDescent="0.25">
      <c r="A19" t="s">
        <v>2</v>
      </c>
      <c r="B19" t="s">
        <v>20</v>
      </c>
      <c r="G19">
        <v>1</v>
      </c>
      <c r="J19">
        <v>31</v>
      </c>
      <c r="K19">
        <f t="shared" si="1"/>
        <v>1</v>
      </c>
    </row>
    <row r="20" spans="1:13" x14ac:dyDescent="0.25">
      <c r="A20" t="s">
        <v>2</v>
      </c>
      <c r="B20" t="s">
        <v>131</v>
      </c>
      <c r="F20">
        <v>0</v>
      </c>
      <c r="J20">
        <v>0</v>
      </c>
      <c r="K20">
        <f t="shared" si="1"/>
        <v>0</v>
      </c>
      <c r="M20" t="s">
        <v>134</v>
      </c>
    </row>
    <row r="21" spans="1:13" x14ac:dyDescent="0.25">
      <c r="A21" t="s">
        <v>2</v>
      </c>
      <c r="B21" t="s">
        <v>21</v>
      </c>
      <c r="C21">
        <v>1</v>
      </c>
      <c r="J21">
        <v>31</v>
      </c>
      <c r="K21">
        <f t="shared" si="1"/>
        <v>1</v>
      </c>
    </row>
    <row r="22" spans="1:13" x14ac:dyDescent="0.25">
      <c r="A22" t="s">
        <v>2</v>
      </c>
      <c r="B22" t="s">
        <v>22</v>
      </c>
      <c r="F22">
        <v>1</v>
      </c>
      <c r="J22">
        <v>31</v>
      </c>
      <c r="K22">
        <f t="shared" si="1"/>
        <v>1</v>
      </c>
    </row>
    <row r="23" spans="1:13" x14ac:dyDescent="0.25">
      <c r="A23" t="s">
        <v>2</v>
      </c>
      <c r="B23" t="s">
        <v>23</v>
      </c>
      <c r="C23">
        <v>1</v>
      </c>
      <c r="J23">
        <v>31</v>
      </c>
      <c r="K23">
        <f t="shared" si="1"/>
        <v>1</v>
      </c>
    </row>
    <row r="24" spans="1:13" x14ac:dyDescent="0.25">
      <c r="A24" t="s">
        <v>2</v>
      </c>
      <c r="B24" t="s">
        <v>24</v>
      </c>
      <c r="H24">
        <v>1</v>
      </c>
      <c r="J24">
        <v>31</v>
      </c>
      <c r="K24">
        <f t="shared" si="1"/>
        <v>1</v>
      </c>
      <c r="L24">
        <f>SUM(K2:K24)</f>
        <v>22</v>
      </c>
    </row>
    <row r="25" spans="1:13" x14ac:dyDescent="0.25">
      <c r="A25" s="2" t="s">
        <v>25</v>
      </c>
      <c r="B25" t="s">
        <v>26</v>
      </c>
      <c r="F25">
        <v>1</v>
      </c>
      <c r="J25">
        <v>31</v>
      </c>
      <c r="K25">
        <f t="shared" si="1"/>
        <v>1</v>
      </c>
    </row>
    <row r="26" spans="1:13" x14ac:dyDescent="0.25">
      <c r="A26" t="s">
        <v>25</v>
      </c>
      <c r="B26" t="s">
        <v>27</v>
      </c>
      <c r="E26">
        <v>1</v>
      </c>
      <c r="J26">
        <v>31</v>
      </c>
      <c r="K26">
        <f t="shared" si="1"/>
        <v>1</v>
      </c>
    </row>
    <row r="27" spans="1:13" x14ac:dyDescent="0.25">
      <c r="A27" t="s">
        <v>25</v>
      </c>
      <c r="B27" t="s">
        <v>28</v>
      </c>
      <c r="D27">
        <v>1</v>
      </c>
      <c r="J27">
        <v>31</v>
      </c>
      <c r="K27">
        <f t="shared" si="1"/>
        <v>1</v>
      </c>
    </row>
    <row r="28" spans="1:13" x14ac:dyDescent="0.25">
      <c r="A28" t="s">
        <v>25</v>
      </c>
      <c r="B28" t="s">
        <v>29</v>
      </c>
      <c r="C28">
        <v>1</v>
      </c>
      <c r="J28">
        <v>31</v>
      </c>
      <c r="K28">
        <f t="shared" si="1"/>
        <v>1</v>
      </c>
    </row>
    <row r="29" spans="1:13" x14ac:dyDescent="0.25">
      <c r="A29" t="s">
        <v>25</v>
      </c>
      <c r="B29" t="s">
        <v>30</v>
      </c>
      <c r="D29">
        <v>1</v>
      </c>
      <c r="J29">
        <v>31</v>
      </c>
      <c r="K29">
        <f t="shared" si="1"/>
        <v>1</v>
      </c>
    </row>
    <row r="30" spans="1:13" x14ac:dyDescent="0.25">
      <c r="A30" t="s">
        <v>25</v>
      </c>
      <c r="B30" t="s">
        <v>31</v>
      </c>
      <c r="C30">
        <v>1</v>
      </c>
      <c r="J30">
        <v>31</v>
      </c>
      <c r="K30">
        <f t="shared" si="1"/>
        <v>1</v>
      </c>
    </row>
    <row r="31" spans="1:13" x14ac:dyDescent="0.25">
      <c r="A31" t="s">
        <v>25</v>
      </c>
      <c r="B31" t="s">
        <v>32</v>
      </c>
      <c r="F31">
        <v>1</v>
      </c>
      <c r="J31">
        <v>31</v>
      </c>
      <c r="K31">
        <f t="shared" si="1"/>
        <v>1</v>
      </c>
    </row>
    <row r="32" spans="1:13" x14ac:dyDescent="0.25">
      <c r="A32" t="s">
        <v>25</v>
      </c>
      <c r="B32" t="s">
        <v>33</v>
      </c>
      <c r="D32">
        <v>1</v>
      </c>
      <c r="J32">
        <v>31</v>
      </c>
      <c r="K32">
        <f t="shared" si="1"/>
        <v>1</v>
      </c>
    </row>
    <row r="33" spans="1:11" x14ac:dyDescent="0.25">
      <c r="A33" t="s">
        <v>25</v>
      </c>
      <c r="B33" t="s">
        <v>34</v>
      </c>
      <c r="F33">
        <v>1</v>
      </c>
      <c r="J33">
        <v>31</v>
      </c>
      <c r="K33">
        <f t="shared" si="1"/>
        <v>1</v>
      </c>
    </row>
    <row r="34" spans="1:11" x14ac:dyDescent="0.25">
      <c r="A34" t="s">
        <v>25</v>
      </c>
      <c r="B34" t="s">
        <v>35</v>
      </c>
      <c r="F34">
        <v>1</v>
      </c>
      <c r="J34">
        <v>31</v>
      </c>
      <c r="K34">
        <f t="shared" si="1"/>
        <v>1</v>
      </c>
    </row>
    <row r="35" spans="1:11" x14ac:dyDescent="0.25">
      <c r="A35" t="s">
        <v>25</v>
      </c>
      <c r="B35" t="s">
        <v>36</v>
      </c>
      <c r="I35">
        <v>1</v>
      </c>
      <c r="J35">
        <v>31</v>
      </c>
      <c r="K35">
        <f t="shared" si="1"/>
        <v>1</v>
      </c>
    </row>
    <row r="36" spans="1:11" x14ac:dyDescent="0.25">
      <c r="A36" t="s">
        <v>25</v>
      </c>
      <c r="B36" t="s">
        <v>37</v>
      </c>
      <c r="D36">
        <v>1</v>
      </c>
      <c r="J36">
        <v>31</v>
      </c>
      <c r="K36">
        <f t="shared" si="1"/>
        <v>1</v>
      </c>
    </row>
    <row r="37" spans="1:11" x14ac:dyDescent="0.25">
      <c r="A37" t="s">
        <v>25</v>
      </c>
      <c r="B37" t="s">
        <v>38</v>
      </c>
      <c r="C37">
        <v>1</v>
      </c>
      <c r="J37">
        <v>31</v>
      </c>
      <c r="K37">
        <f t="shared" si="1"/>
        <v>1</v>
      </c>
    </row>
    <row r="38" spans="1:11" x14ac:dyDescent="0.25">
      <c r="A38" t="s">
        <v>25</v>
      </c>
      <c r="B38" t="s">
        <v>39</v>
      </c>
      <c r="C38">
        <v>1</v>
      </c>
      <c r="J38">
        <v>31</v>
      </c>
      <c r="K38">
        <f t="shared" si="1"/>
        <v>1</v>
      </c>
    </row>
    <row r="39" spans="1:11" x14ac:dyDescent="0.25">
      <c r="A39" t="s">
        <v>25</v>
      </c>
      <c r="B39" t="s">
        <v>40</v>
      </c>
      <c r="C39">
        <v>1</v>
      </c>
      <c r="J39">
        <v>31</v>
      </c>
      <c r="K39">
        <f t="shared" si="1"/>
        <v>1</v>
      </c>
    </row>
    <row r="40" spans="1:11" x14ac:dyDescent="0.25">
      <c r="A40" t="s">
        <v>25</v>
      </c>
      <c r="B40" t="s">
        <v>41</v>
      </c>
      <c r="C40">
        <v>1</v>
      </c>
      <c r="J40">
        <v>31</v>
      </c>
      <c r="K40">
        <f t="shared" si="1"/>
        <v>1</v>
      </c>
    </row>
    <row r="41" spans="1:11" x14ac:dyDescent="0.25">
      <c r="A41" t="s">
        <v>25</v>
      </c>
      <c r="B41" t="s">
        <v>42</v>
      </c>
      <c r="C41">
        <v>1</v>
      </c>
      <c r="J41">
        <v>31</v>
      </c>
      <c r="K41">
        <f t="shared" si="1"/>
        <v>1</v>
      </c>
    </row>
    <row r="42" spans="1:11" x14ac:dyDescent="0.25">
      <c r="A42" t="s">
        <v>25</v>
      </c>
      <c r="B42" t="s">
        <v>43</v>
      </c>
      <c r="C42">
        <v>1</v>
      </c>
      <c r="J42">
        <v>31</v>
      </c>
      <c r="K42">
        <f t="shared" si="1"/>
        <v>1</v>
      </c>
    </row>
    <row r="43" spans="1:11" x14ac:dyDescent="0.25">
      <c r="A43" t="s">
        <v>25</v>
      </c>
      <c r="B43" t="s">
        <v>44</v>
      </c>
      <c r="E43">
        <v>1</v>
      </c>
      <c r="J43">
        <v>31</v>
      </c>
      <c r="K43">
        <f t="shared" si="1"/>
        <v>1</v>
      </c>
    </row>
    <row r="44" spans="1:11" x14ac:dyDescent="0.25">
      <c r="A44" t="s">
        <v>25</v>
      </c>
      <c r="B44" t="s">
        <v>45</v>
      </c>
      <c r="I44">
        <v>1</v>
      </c>
      <c r="J44">
        <v>31</v>
      </c>
      <c r="K44">
        <f t="shared" si="1"/>
        <v>1</v>
      </c>
    </row>
    <row r="45" spans="1:11" x14ac:dyDescent="0.25">
      <c r="A45" t="s">
        <v>25</v>
      </c>
      <c r="B45" t="s">
        <v>46</v>
      </c>
      <c r="D45">
        <v>1</v>
      </c>
      <c r="J45">
        <v>31</v>
      </c>
      <c r="K45">
        <f t="shared" si="1"/>
        <v>1</v>
      </c>
    </row>
    <row r="46" spans="1:11" x14ac:dyDescent="0.25">
      <c r="A46" t="s">
        <v>25</v>
      </c>
      <c r="B46" t="s">
        <v>47</v>
      </c>
      <c r="E46">
        <v>1</v>
      </c>
      <c r="J46">
        <v>31</v>
      </c>
      <c r="K46">
        <f t="shared" si="1"/>
        <v>1</v>
      </c>
    </row>
    <row r="47" spans="1:11" x14ac:dyDescent="0.25">
      <c r="A47" t="s">
        <v>25</v>
      </c>
      <c r="B47" t="s">
        <v>48</v>
      </c>
      <c r="C47">
        <v>1</v>
      </c>
      <c r="J47">
        <v>31</v>
      </c>
      <c r="K47">
        <f t="shared" si="1"/>
        <v>1</v>
      </c>
    </row>
    <row r="48" spans="1:11" x14ac:dyDescent="0.25">
      <c r="A48" t="s">
        <v>25</v>
      </c>
      <c r="B48" t="s">
        <v>49</v>
      </c>
      <c r="E48">
        <v>1</v>
      </c>
      <c r="J48">
        <v>31</v>
      </c>
      <c r="K48">
        <f t="shared" si="1"/>
        <v>1</v>
      </c>
    </row>
    <row r="49" spans="1:12" x14ac:dyDescent="0.25">
      <c r="A49" t="s">
        <v>25</v>
      </c>
      <c r="B49" t="s">
        <v>50</v>
      </c>
      <c r="D49">
        <v>1</v>
      </c>
      <c r="J49">
        <v>31</v>
      </c>
      <c r="K49">
        <f t="shared" ref="K49:K67" si="2">SUM(C49:I49)</f>
        <v>1</v>
      </c>
    </row>
    <row r="50" spans="1:12" x14ac:dyDescent="0.25">
      <c r="A50" t="s">
        <v>25</v>
      </c>
      <c r="B50" t="s">
        <v>51</v>
      </c>
      <c r="C50">
        <v>1</v>
      </c>
      <c r="J50">
        <v>31</v>
      </c>
      <c r="K50">
        <f t="shared" si="2"/>
        <v>1</v>
      </c>
    </row>
    <row r="51" spans="1:12" x14ac:dyDescent="0.25">
      <c r="A51" t="s">
        <v>25</v>
      </c>
      <c r="B51" t="s">
        <v>52</v>
      </c>
      <c r="C51">
        <v>1</v>
      </c>
      <c r="J51">
        <v>31</v>
      </c>
      <c r="K51">
        <f t="shared" si="2"/>
        <v>1</v>
      </c>
    </row>
    <row r="52" spans="1:12" x14ac:dyDescent="0.25">
      <c r="A52" t="s">
        <v>25</v>
      </c>
      <c r="B52" t="s">
        <v>53</v>
      </c>
      <c r="E52">
        <v>1</v>
      </c>
      <c r="J52">
        <v>31</v>
      </c>
      <c r="K52">
        <f t="shared" si="2"/>
        <v>1</v>
      </c>
    </row>
    <row r="53" spans="1:12" x14ac:dyDescent="0.25">
      <c r="A53" t="s">
        <v>25</v>
      </c>
      <c r="B53" t="s">
        <v>54</v>
      </c>
      <c r="F53">
        <v>1</v>
      </c>
      <c r="J53">
        <v>31</v>
      </c>
      <c r="K53">
        <f t="shared" si="2"/>
        <v>1</v>
      </c>
    </row>
    <row r="54" spans="1:12" x14ac:dyDescent="0.25">
      <c r="A54" t="s">
        <v>25</v>
      </c>
      <c r="B54" t="s">
        <v>55</v>
      </c>
      <c r="C54">
        <v>1</v>
      </c>
      <c r="J54">
        <v>31</v>
      </c>
      <c r="K54">
        <f t="shared" si="2"/>
        <v>1</v>
      </c>
    </row>
    <row r="55" spans="1:12" x14ac:dyDescent="0.25">
      <c r="A55" t="s">
        <v>25</v>
      </c>
      <c r="B55" t="s">
        <v>56</v>
      </c>
      <c r="C55">
        <v>1</v>
      </c>
      <c r="J55">
        <v>31</v>
      </c>
      <c r="K55">
        <f t="shared" si="2"/>
        <v>1</v>
      </c>
    </row>
    <row r="56" spans="1:12" x14ac:dyDescent="0.25">
      <c r="A56" t="s">
        <v>25</v>
      </c>
      <c r="B56" t="s">
        <v>57</v>
      </c>
      <c r="F56">
        <v>1</v>
      </c>
      <c r="J56">
        <v>31</v>
      </c>
      <c r="K56">
        <f t="shared" si="2"/>
        <v>1</v>
      </c>
    </row>
    <row r="57" spans="1:12" x14ac:dyDescent="0.25">
      <c r="A57" t="s">
        <v>25</v>
      </c>
      <c r="B57" t="s">
        <v>58</v>
      </c>
      <c r="D57">
        <v>1</v>
      </c>
      <c r="J57">
        <v>31</v>
      </c>
      <c r="K57">
        <f t="shared" si="2"/>
        <v>1</v>
      </c>
      <c r="L57">
        <f>SUM(K25:K57)</f>
        <v>33</v>
      </c>
    </row>
    <row r="58" spans="1:12" x14ac:dyDescent="0.25">
      <c r="A58" s="2" t="s">
        <v>59</v>
      </c>
      <c r="B58" t="s">
        <v>60</v>
      </c>
      <c r="H58">
        <v>1</v>
      </c>
      <c r="J58" s="1">
        <v>30</v>
      </c>
      <c r="K58">
        <f t="shared" si="2"/>
        <v>1</v>
      </c>
    </row>
    <row r="59" spans="1:12" x14ac:dyDescent="0.25">
      <c r="A59" t="s">
        <v>59</v>
      </c>
      <c r="B59" t="s">
        <v>61</v>
      </c>
      <c r="H59">
        <v>1</v>
      </c>
      <c r="J59">
        <v>31</v>
      </c>
      <c r="K59">
        <f t="shared" si="2"/>
        <v>1</v>
      </c>
    </row>
    <row r="60" spans="1:12" x14ac:dyDescent="0.25">
      <c r="A60" t="s">
        <v>59</v>
      </c>
      <c r="B60" t="s">
        <v>62</v>
      </c>
      <c r="H60">
        <v>1</v>
      </c>
      <c r="J60">
        <v>31</v>
      </c>
      <c r="K60">
        <f t="shared" si="2"/>
        <v>1</v>
      </c>
    </row>
    <row r="61" spans="1:12" x14ac:dyDescent="0.25">
      <c r="A61" t="s">
        <v>59</v>
      </c>
      <c r="B61" t="s">
        <v>63</v>
      </c>
      <c r="H61">
        <v>1</v>
      </c>
      <c r="J61">
        <v>31</v>
      </c>
      <c r="K61">
        <f t="shared" si="2"/>
        <v>1</v>
      </c>
    </row>
    <row r="62" spans="1:12" x14ac:dyDescent="0.25">
      <c r="A62" t="s">
        <v>59</v>
      </c>
      <c r="B62" t="s">
        <v>64</v>
      </c>
      <c r="H62">
        <v>1</v>
      </c>
      <c r="J62">
        <v>31</v>
      </c>
      <c r="K62">
        <f t="shared" si="2"/>
        <v>1</v>
      </c>
    </row>
    <row r="63" spans="1:12" x14ac:dyDescent="0.25">
      <c r="A63" t="s">
        <v>59</v>
      </c>
      <c r="B63" t="s">
        <v>65</v>
      </c>
      <c r="H63">
        <v>1</v>
      </c>
      <c r="J63">
        <v>31</v>
      </c>
      <c r="K63">
        <f t="shared" si="2"/>
        <v>1</v>
      </c>
    </row>
    <row r="64" spans="1:12" x14ac:dyDescent="0.25">
      <c r="A64" t="s">
        <v>59</v>
      </c>
      <c r="B64" t="s">
        <v>66</v>
      </c>
      <c r="H64">
        <v>1</v>
      </c>
      <c r="J64">
        <v>31</v>
      </c>
      <c r="K64">
        <f t="shared" si="2"/>
        <v>1</v>
      </c>
    </row>
    <row r="65" spans="1:12" x14ac:dyDescent="0.25">
      <c r="A65" t="s">
        <v>59</v>
      </c>
      <c r="B65" t="s">
        <v>67</v>
      </c>
      <c r="H65">
        <v>1</v>
      </c>
      <c r="J65">
        <v>31</v>
      </c>
      <c r="K65">
        <f t="shared" si="2"/>
        <v>1</v>
      </c>
    </row>
    <row r="66" spans="1:12" x14ac:dyDescent="0.25">
      <c r="A66" t="s">
        <v>59</v>
      </c>
      <c r="B66" t="s">
        <v>68</v>
      </c>
      <c r="H66">
        <v>1</v>
      </c>
      <c r="J66">
        <v>31</v>
      </c>
      <c r="K66">
        <f t="shared" si="2"/>
        <v>1</v>
      </c>
    </row>
    <row r="67" spans="1:12" x14ac:dyDescent="0.25">
      <c r="A67" t="s">
        <v>59</v>
      </c>
      <c r="B67" t="s">
        <v>69</v>
      </c>
      <c r="H67">
        <v>1</v>
      </c>
      <c r="J67">
        <v>31</v>
      </c>
      <c r="K67">
        <f t="shared" si="2"/>
        <v>1</v>
      </c>
    </row>
    <row r="68" spans="1:12" x14ac:dyDescent="0.25">
      <c r="A68" t="s">
        <v>59</v>
      </c>
      <c r="B68" t="s">
        <v>70</v>
      </c>
      <c r="H68">
        <v>1</v>
      </c>
      <c r="J68">
        <v>31</v>
      </c>
      <c r="K68">
        <f t="shared" ref="K68:K118" si="3">SUM(C68:I68)</f>
        <v>1</v>
      </c>
    </row>
    <row r="69" spans="1:12" x14ac:dyDescent="0.25">
      <c r="A69" t="s">
        <v>59</v>
      </c>
      <c r="B69" t="s">
        <v>71</v>
      </c>
      <c r="H69">
        <v>1</v>
      </c>
      <c r="J69">
        <v>31</v>
      </c>
      <c r="K69">
        <f t="shared" si="3"/>
        <v>1</v>
      </c>
    </row>
    <row r="70" spans="1:12" x14ac:dyDescent="0.25">
      <c r="A70" t="s">
        <v>59</v>
      </c>
      <c r="B70" t="s">
        <v>72</v>
      </c>
      <c r="H70">
        <v>1</v>
      </c>
      <c r="J70">
        <v>31</v>
      </c>
      <c r="K70">
        <f t="shared" si="3"/>
        <v>1</v>
      </c>
    </row>
    <row r="71" spans="1:12" x14ac:dyDescent="0.25">
      <c r="A71" t="s">
        <v>59</v>
      </c>
      <c r="B71" t="s">
        <v>73</v>
      </c>
      <c r="H71">
        <v>1</v>
      </c>
      <c r="J71">
        <v>31</v>
      </c>
      <c r="K71">
        <f t="shared" si="3"/>
        <v>1</v>
      </c>
    </row>
    <row r="72" spans="1:12" x14ac:dyDescent="0.25">
      <c r="A72" t="s">
        <v>59</v>
      </c>
      <c r="B72" t="s">
        <v>74</v>
      </c>
      <c r="H72">
        <v>1</v>
      </c>
      <c r="J72">
        <v>31</v>
      </c>
      <c r="K72">
        <f t="shared" si="3"/>
        <v>1</v>
      </c>
    </row>
    <row r="73" spans="1:12" x14ac:dyDescent="0.25">
      <c r="A73" t="s">
        <v>59</v>
      </c>
      <c r="B73" t="s">
        <v>75</v>
      </c>
      <c r="H73">
        <v>1</v>
      </c>
      <c r="J73">
        <v>31</v>
      </c>
      <c r="K73">
        <f t="shared" si="3"/>
        <v>1</v>
      </c>
    </row>
    <row r="74" spans="1:12" x14ac:dyDescent="0.25">
      <c r="A74" t="s">
        <v>59</v>
      </c>
      <c r="B74" t="s">
        <v>76</v>
      </c>
      <c r="H74">
        <v>1</v>
      </c>
      <c r="J74">
        <v>31</v>
      </c>
      <c r="K74">
        <f t="shared" si="3"/>
        <v>1</v>
      </c>
    </row>
    <row r="75" spans="1:12" x14ac:dyDescent="0.25">
      <c r="A75" t="s">
        <v>59</v>
      </c>
      <c r="B75" t="s">
        <v>77</v>
      </c>
      <c r="H75">
        <v>1</v>
      </c>
      <c r="J75">
        <v>31</v>
      </c>
      <c r="K75">
        <f t="shared" si="3"/>
        <v>1</v>
      </c>
    </row>
    <row r="76" spans="1:12" x14ac:dyDescent="0.25">
      <c r="A76" t="s">
        <v>59</v>
      </c>
      <c r="B76" t="s">
        <v>78</v>
      </c>
      <c r="H76">
        <v>1</v>
      </c>
      <c r="J76">
        <v>31</v>
      </c>
      <c r="K76">
        <f t="shared" si="3"/>
        <v>1</v>
      </c>
    </row>
    <row r="77" spans="1:12" x14ac:dyDescent="0.25">
      <c r="A77" t="s">
        <v>59</v>
      </c>
      <c r="B77" t="s">
        <v>79</v>
      </c>
      <c r="H77">
        <v>1</v>
      </c>
      <c r="J77">
        <v>31</v>
      </c>
      <c r="K77">
        <f t="shared" si="3"/>
        <v>1</v>
      </c>
    </row>
    <row r="78" spans="1:12" x14ac:dyDescent="0.25">
      <c r="A78" t="s">
        <v>59</v>
      </c>
      <c r="B78" t="s">
        <v>80</v>
      </c>
      <c r="H78">
        <v>1</v>
      </c>
      <c r="J78">
        <v>31</v>
      </c>
      <c r="K78">
        <f t="shared" si="3"/>
        <v>1</v>
      </c>
    </row>
    <row r="79" spans="1:12" x14ac:dyDescent="0.25">
      <c r="A79" t="s">
        <v>59</v>
      </c>
      <c r="B79" t="s">
        <v>81</v>
      </c>
      <c r="H79">
        <v>1</v>
      </c>
      <c r="J79">
        <v>31</v>
      </c>
      <c r="K79">
        <f t="shared" si="3"/>
        <v>1</v>
      </c>
      <c r="L79">
        <f>SUM(K58:K79)</f>
        <v>22</v>
      </c>
    </row>
    <row r="80" spans="1:12" x14ac:dyDescent="0.25">
      <c r="A80" s="2" t="s">
        <v>82</v>
      </c>
      <c r="B80" t="s">
        <v>83</v>
      </c>
      <c r="G80">
        <v>1</v>
      </c>
      <c r="J80">
        <v>31</v>
      </c>
      <c r="K80">
        <f t="shared" si="3"/>
        <v>1</v>
      </c>
    </row>
    <row r="81" spans="1:11" x14ac:dyDescent="0.25">
      <c r="A81" t="s">
        <v>82</v>
      </c>
      <c r="B81" t="s">
        <v>84</v>
      </c>
      <c r="G81">
        <v>1</v>
      </c>
      <c r="J81">
        <v>31</v>
      </c>
      <c r="K81">
        <f t="shared" si="3"/>
        <v>1</v>
      </c>
    </row>
    <row r="82" spans="1:11" x14ac:dyDescent="0.25">
      <c r="A82" t="s">
        <v>82</v>
      </c>
      <c r="B82" t="s">
        <v>85</v>
      </c>
      <c r="G82">
        <v>1</v>
      </c>
      <c r="J82">
        <v>31</v>
      </c>
      <c r="K82">
        <f t="shared" si="3"/>
        <v>1</v>
      </c>
    </row>
    <row r="83" spans="1:11" x14ac:dyDescent="0.25">
      <c r="A83" t="s">
        <v>82</v>
      </c>
      <c r="B83" t="s">
        <v>86</v>
      </c>
      <c r="G83">
        <v>1</v>
      </c>
      <c r="J83">
        <v>31</v>
      </c>
      <c r="K83">
        <f t="shared" si="3"/>
        <v>1</v>
      </c>
    </row>
    <row r="84" spans="1:11" x14ac:dyDescent="0.25">
      <c r="A84" t="s">
        <v>82</v>
      </c>
      <c r="B84" t="s">
        <v>87</v>
      </c>
      <c r="G84">
        <v>1</v>
      </c>
      <c r="J84">
        <v>31</v>
      </c>
      <c r="K84">
        <f t="shared" si="3"/>
        <v>1</v>
      </c>
    </row>
    <row r="85" spans="1:11" x14ac:dyDescent="0.25">
      <c r="A85" t="s">
        <v>82</v>
      </c>
      <c r="B85" t="s">
        <v>88</v>
      </c>
      <c r="G85">
        <v>1</v>
      </c>
      <c r="J85">
        <v>31</v>
      </c>
      <c r="K85">
        <f t="shared" si="3"/>
        <v>1</v>
      </c>
    </row>
    <row r="86" spans="1:11" x14ac:dyDescent="0.25">
      <c r="A86" t="s">
        <v>82</v>
      </c>
      <c r="B86" t="s">
        <v>89</v>
      </c>
      <c r="H86">
        <v>1</v>
      </c>
      <c r="J86">
        <v>31</v>
      </c>
      <c r="K86">
        <f t="shared" si="3"/>
        <v>1</v>
      </c>
    </row>
    <row r="87" spans="1:11" x14ac:dyDescent="0.25">
      <c r="A87" t="s">
        <v>82</v>
      </c>
      <c r="B87" t="s">
        <v>90</v>
      </c>
      <c r="H87">
        <v>1</v>
      </c>
      <c r="J87">
        <v>31</v>
      </c>
      <c r="K87">
        <f t="shared" si="3"/>
        <v>1</v>
      </c>
    </row>
    <row r="88" spans="1:11" x14ac:dyDescent="0.25">
      <c r="A88" t="s">
        <v>82</v>
      </c>
      <c r="B88" t="s">
        <v>91</v>
      </c>
      <c r="H88">
        <v>1</v>
      </c>
      <c r="J88">
        <v>31</v>
      </c>
      <c r="K88">
        <f t="shared" si="3"/>
        <v>1</v>
      </c>
    </row>
    <row r="89" spans="1:11" x14ac:dyDescent="0.25">
      <c r="A89" t="s">
        <v>82</v>
      </c>
      <c r="B89" t="s">
        <v>7</v>
      </c>
      <c r="G89">
        <v>1</v>
      </c>
      <c r="J89">
        <v>31</v>
      </c>
      <c r="K89">
        <f t="shared" si="3"/>
        <v>1</v>
      </c>
    </row>
    <row r="90" spans="1:11" x14ac:dyDescent="0.25">
      <c r="A90" t="s">
        <v>82</v>
      </c>
      <c r="B90" t="s">
        <v>92</v>
      </c>
      <c r="F90">
        <v>1</v>
      </c>
      <c r="J90">
        <v>31</v>
      </c>
      <c r="K90">
        <f t="shared" si="3"/>
        <v>1</v>
      </c>
    </row>
    <row r="91" spans="1:11" x14ac:dyDescent="0.25">
      <c r="A91" t="s">
        <v>82</v>
      </c>
      <c r="B91" t="s">
        <v>93</v>
      </c>
      <c r="F91">
        <v>1</v>
      </c>
      <c r="J91">
        <v>31</v>
      </c>
      <c r="K91">
        <f t="shared" si="3"/>
        <v>1</v>
      </c>
    </row>
    <row r="92" spans="1:11" x14ac:dyDescent="0.25">
      <c r="A92" t="s">
        <v>82</v>
      </c>
      <c r="B92" t="s">
        <v>94</v>
      </c>
      <c r="F92">
        <v>1</v>
      </c>
      <c r="J92">
        <v>31</v>
      </c>
      <c r="K92">
        <f t="shared" si="3"/>
        <v>1</v>
      </c>
    </row>
    <row r="93" spans="1:11" x14ac:dyDescent="0.25">
      <c r="A93" t="s">
        <v>82</v>
      </c>
      <c r="B93" t="s">
        <v>95</v>
      </c>
      <c r="F93">
        <v>1</v>
      </c>
      <c r="J93">
        <v>31</v>
      </c>
      <c r="K93">
        <f t="shared" si="3"/>
        <v>1</v>
      </c>
    </row>
    <row r="94" spans="1:11" x14ac:dyDescent="0.25">
      <c r="A94" t="s">
        <v>82</v>
      </c>
      <c r="B94" t="s">
        <v>96</v>
      </c>
      <c r="H94">
        <v>1</v>
      </c>
      <c r="J94">
        <v>31</v>
      </c>
      <c r="K94">
        <f t="shared" si="3"/>
        <v>1</v>
      </c>
    </row>
    <row r="95" spans="1:11" x14ac:dyDescent="0.25">
      <c r="A95" t="s">
        <v>82</v>
      </c>
      <c r="B95" t="s">
        <v>97</v>
      </c>
      <c r="H95">
        <v>1</v>
      </c>
      <c r="J95">
        <v>31</v>
      </c>
      <c r="K95">
        <f t="shared" si="3"/>
        <v>1</v>
      </c>
    </row>
    <row r="96" spans="1:11" x14ac:dyDescent="0.25">
      <c r="A96" t="s">
        <v>82</v>
      </c>
      <c r="B96" t="s">
        <v>98</v>
      </c>
      <c r="G96">
        <v>1</v>
      </c>
      <c r="J96">
        <v>31</v>
      </c>
      <c r="K96">
        <f t="shared" si="3"/>
        <v>1</v>
      </c>
    </row>
    <row r="97" spans="1:12" x14ac:dyDescent="0.25">
      <c r="A97" t="s">
        <v>82</v>
      </c>
      <c r="B97" t="s">
        <v>99</v>
      </c>
      <c r="G97">
        <v>1</v>
      </c>
      <c r="J97">
        <v>31</v>
      </c>
      <c r="K97">
        <f t="shared" si="3"/>
        <v>1</v>
      </c>
    </row>
    <row r="98" spans="1:12" x14ac:dyDescent="0.25">
      <c r="A98" t="s">
        <v>82</v>
      </c>
      <c r="B98" t="s">
        <v>100</v>
      </c>
      <c r="G98">
        <v>1</v>
      </c>
      <c r="J98">
        <v>31</v>
      </c>
      <c r="K98">
        <f t="shared" si="3"/>
        <v>1</v>
      </c>
    </row>
    <row r="99" spans="1:12" x14ac:dyDescent="0.25">
      <c r="A99" t="s">
        <v>82</v>
      </c>
      <c r="B99" t="s">
        <v>101</v>
      </c>
      <c r="G99">
        <v>1</v>
      </c>
      <c r="J99">
        <v>31</v>
      </c>
      <c r="K99">
        <f t="shared" si="3"/>
        <v>1</v>
      </c>
    </row>
    <row r="100" spans="1:12" x14ac:dyDescent="0.25">
      <c r="A100" t="s">
        <v>82</v>
      </c>
      <c r="B100" t="s">
        <v>102</v>
      </c>
      <c r="G100">
        <v>1</v>
      </c>
      <c r="J100">
        <v>31</v>
      </c>
      <c r="K100">
        <f t="shared" si="3"/>
        <v>1</v>
      </c>
    </row>
    <row r="101" spans="1:12" x14ac:dyDescent="0.25">
      <c r="A101" t="s">
        <v>82</v>
      </c>
      <c r="B101" t="s">
        <v>103</v>
      </c>
      <c r="G101">
        <v>1</v>
      </c>
      <c r="J101">
        <v>31</v>
      </c>
      <c r="K101">
        <f t="shared" si="3"/>
        <v>1</v>
      </c>
    </row>
    <row r="102" spans="1:12" x14ac:dyDescent="0.25">
      <c r="A102" t="s">
        <v>82</v>
      </c>
      <c r="B102" t="s">
        <v>104</v>
      </c>
      <c r="G102">
        <v>1</v>
      </c>
      <c r="J102">
        <v>31</v>
      </c>
      <c r="K102">
        <f t="shared" si="3"/>
        <v>1</v>
      </c>
    </row>
    <row r="103" spans="1:12" x14ac:dyDescent="0.25">
      <c r="A103" t="s">
        <v>82</v>
      </c>
      <c r="B103" t="s">
        <v>105</v>
      </c>
      <c r="G103">
        <v>1</v>
      </c>
      <c r="J103">
        <v>31</v>
      </c>
      <c r="K103">
        <f t="shared" si="3"/>
        <v>1</v>
      </c>
    </row>
    <row r="104" spans="1:12" x14ac:dyDescent="0.25">
      <c r="A104" t="s">
        <v>82</v>
      </c>
      <c r="B104" t="s">
        <v>106</v>
      </c>
      <c r="G104">
        <v>1</v>
      </c>
      <c r="J104">
        <v>31</v>
      </c>
      <c r="K104">
        <f t="shared" si="3"/>
        <v>1</v>
      </c>
    </row>
    <row r="105" spans="1:12" x14ac:dyDescent="0.25">
      <c r="A105" t="s">
        <v>82</v>
      </c>
      <c r="B105" t="s">
        <v>107</v>
      </c>
      <c r="G105">
        <v>1</v>
      </c>
      <c r="J105">
        <v>31</v>
      </c>
      <c r="K105">
        <f t="shared" si="3"/>
        <v>1</v>
      </c>
    </row>
    <row r="106" spans="1:12" x14ac:dyDescent="0.25">
      <c r="A106" t="s">
        <v>82</v>
      </c>
      <c r="B106" t="s">
        <v>132</v>
      </c>
      <c r="I106">
        <v>1</v>
      </c>
      <c r="J106">
        <v>31</v>
      </c>
      <c r="K106">
        <f t="shared" si="3"/>
        <v>1</v>
      </c>
    </row>
    <row r="107" spans="1:12" x14ac:dyDescent="0.25">
      <c r="A107" t="s">
        <v>82</v>
      </c>
      <c r="B107" t="s">
        <v>133</v>
      </c>
      <c r="I107">
        <v>1</v>
      </c>
      <c r="J107">
        <v>31</v>
      </c>
      <c r="K107">
        <f t="shared" si="3"/>
        <v>1</v>
      </c>
      <c r="L107">
        <f>SUM(K80:K107)</f>
        <v>28</v>
      </c>
    </row>
    <row r="108" spans="1:12" x14ac:dyDescent="0.25">
      <c r="A108" s="2" t="s">
        <v>114</v>
      </c>
      <c r="B108" t="s">
        <v>3</v>
      </c>
      <c r="G108">
        <v>1</v>
      </c>
      <c r="J108">
        <v>31</v>
      </c>
      <c r="K108">
        <f t="shared" si="3"/>
        <v>1</v>
      </c>
    </row>
    <row r="109" spans="1:12" x14ac:dyDescent="0.25">
      <c r="A109" t="s">
        <v>114</v>
      </c>
      <c r="B109" t="s">
        <v>115</v>
      </c>
      <c r="G109">
        <v>1</v>
      </c>
      <c r="J109" s="1">
        <v>30</v>
      </c>
      <c r="K109">
        <f t="shared" si="3"/>
        <v>1</v>
      </c>
    </row>
    <row r="110" spans="1:12" x14ac:dyDescent="0.25">
      <c r="A110" t="s">
        <v>114</v>
      </c>
      <c r="B110" t="s">
        <v>116</v>
      </c>
      <c r="G110">
        <v>1</v>
      </c>
      <c r="J110">
        <v>31</v>
      </c>
      <c r="K110">
        <f t="shared" si="3"/>
        <v>1</v>
      </c>
    </row>
    <row r="111" spans="1:12" x14ac:dyDescent="0.25">
      <c r="A111" t="s">
        <v>114</v>
      </c>
      <c r="B111" t="s">
        <v>84</v>
      </c>
      <c r="G111">
        <v>1</v>
      </c>
      <c r="J111">
        <v>31</v>
      </c>
      <c r="K111">
        <f t="shared" si="3"/>
        <v>1</v>
      </c>
    </row>
    <row r="112" spans="1:12" x14ac:dyDescent="0.25">
      <c r="A112" t="s">
        <v>114</v>
      </c>
      <c r="B112" t="s">
        <v>117</v>
      </c>
      <c r="G112">
        <v>1</v>
      </c>
      <c r="J112">
        <v>31</v>
      </c>
      <c r="K112">
        <f t="shared" si="3"/>
        <v>1</v>
      </c>
    </row>
    <row r="113" spans="1:12" x14ac:dyDescent="0.25">
      <c r="A113" t="s">
        <v>114</v>
      </c>
      <c r="B113" t="s">
        <v>118</v>
      </c>
      <c r="G113">
        <v>1</v>
      </c>
      <c r="J113">
        <v>31</v>
      </c>
      <c r="K113">
        <f t="shared" si="3"/>
        <v>1</v>
      </c>
      <c r="L113">
        <f>SUM(K108:K113)</f>
        <v>6</v>
      </c>
    </row>
    <row r="114" spans="1:12" x14ac:dyDescent="0.25">
      <c r="A114" s="2" t="s">
        <v>108</v>
      </c>
      <c r="B114" t="s">
        <v>109</v>
      </c>
      <c r="H114">
        <v>0</v>
      </c>
      <c r="J114">
        <v>0</v>
      </c>
      <c r="K114">
        <f t="shared" si="3"/>
        <v>0</v>
      </c>
    </row>
    <row r="115" spans="1:12" x14ac:dyDescent="0.25">
      <c r="A115" t="s">
        <v>108</v>
      </c>
      <c r="B115" t="s">
        <v>110</v>
      </c>
      <c r="H115">
        <v>0</v>
      </c>
      <c r="J115">
        <v>0</v>
      </c>
      <c r="K115">
        <f t="shared" si="3"/>
        <v>0</v>
      </c>
    </row>
    <row r="116" spans="1:12" x14ac:dyDescent="0.25">
      <c r="A116" t="s">
        <v>108</v>
      </c>
      <c r="B116" t="s">
        <v>111</v>
      </c>
      <c r="H116">
        <v>0</v>
      </c>
      <c r="J116">
        <v>0</v>
      </c>
      <c r="K116">
        <f t="shared" si="3"/>
        <v>0</v>
      </c>
    </row>
    <row r="117" spans="1:12" x14ac:dyDescent="0.25">
      <c r="A117" t="s">
        <v>108</v>
      </c>
      <c r="B117" t="s">
        <v>112</v>
      </c>
      <c r="H117">
        <v>0</v>
      </c>
      <c r="J117">
        <v>0</v>
      </c>
      <c r="K117">
        <f t="shared" si="3"/>
        <v>0</v>
      </c>
    </row>
    <row r="118" spans="1:12" x14ac:dyDescent="0.25">
      <c r="A118" t="s">
        <v>108</v>
      </c>
      <c r="B118" t="s">
        <v>113</v>
      </c>
      <c r="H118">
        <v>0</v>
      </c>
      <c r="J118">
        <v>0</v>
      </c>
      <c r="K118">
        <f t="shared" si="3"/>
        <v>0</v>
      </c>
    </row>
    <row r="119" spans="1:12" x14ac:dyDescent="0.25">
      <c r="A119" t="s">
        <v>123</v>
      </c>
      <c r="B119" t="s">
        <v>124</v>
      </c>
      <c r="C119">
        <f>SUM(C2:C118)</f>
        <v>19</v>
      </c>
      <c r="D119">
        <f>SUM(D2:D118)</f>
        <v>9</v>
      </c>
      <c r="E119">
        <f>SUM(E2:E118)</f>
        <v>6</v>
      </c>
      <c r="F119">
        <f>SUM(F2:F118)</f>
        <v>11</v>
      </c>
      <c r="G119">
        <f>SUM(G2:G118)</f>
        <v>28</v>
      </c>
      <c r="H119">
        <f>SUM(H2:H118)</f>
        <v>33</v>
      </c>
      <c r="I119">
        <f>SUM(I2:I118)</f>
        <v>5</v>
      </c>
      <c r="J119">
        <f>SUM(J2:J118)*2</f>
        <v>6876</v>
      </c>
      <c r="K119">
        <f>SUM(C119:J119)</f>
        <v>6987</v>
      </c>
      <c r="L119">
        <f>SUM(L2:L118)</f>
        <v>111</v>
      </c>
    </row>
    <row r="120" spans="1:12" x14ac:dyDescent="0.25">
      <c r="I120">
        <f>SUM(C119:I119)</f>
        <v>111</v>
      </c>
    </row>
  </sheetData>
  <pageMargins left="0.7" right="0.7" top="0.75" bottom="0.75" header="0.3" footer="0.3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768A-E869-46FF-B8D4-A01D7B95AEB4}">
  <dimension ref="A1:C116"/>
  <sheetViews>
    <sheetView workbookViewId="0">
      <selection activeCell="B10" sqref="B10"/>
    </sheetView>
  </sheetViews>
  <sheetFormatPr defaultRowHeight="15" x14ac:dyDescent="0.25"/>
  <cols>
    <col min="2" max="2" width="27.42578125" customWidth="1"/>
    <col min="3" max="3" width="12.5703125" customWidth="1"/>
  </cols>
  <sheetData>
    <row r="1" spans="1:3" x14ac:dyDescent="0.25">
      <c r="A1" t="s">
        <v>1</v>
      </c>
      <c r="B1" t="s">
        <v>0</v>
      </c>
      <c r="C1" t="s">
        <v>130</v>
      </c>
    </row>
    <row r="2" spans="1:3" x14ac:dyDescent="0.25">
      <c r="A2" s="2" t="s">
        <v>2</v>
      </c>
      <c r="B2" t="s">
        <v>3</v>
      </c>
      <c r="C2" t="str">
        <f>INDEX(Sheet1!C$1:I$1, MATCH(1,Sheet1!C2:I2))</f>
        <v>stat</v>
      </c>
    </row>
    <row r="3" spans="1:3" x14ac:dyDescent="0.25">
      <c r="A3" t="s">
        <v>2</v>
      </c>
      <c r="B3" t="s">
        <v>4</v>
      </c>
      <c r="C3" t="str">
        <f>INDEX(Sheet1!C$1:I$1, MATCH(1,Sheet1!C3:I3))</f>
        <v>rnn</v>
      </c>
    </row>
    <row r="4" spans="1:3" x14ac:dyDescent="0.25">
      <c r="A4" t="s">
        <v>2</v>
      </c>
      <c r="B4" t="s">
        <v>5</v>
      </c>
      <c r="C4" t="str">
        <f>INDEX(Sheet1!C$1:I$1, MATCH(1,Sheet1!C4:I4))</f>
        <v>reg</v>
      </c>
    </row>
    <row r="5" spans="1:3" x14ac:dyDescent="0.25">
      <c r="A5" t="s">
        <v>2</v>
      </c>
      <c r="B5" t="s">
        <v>6</v>
      </c>
      <c r="C5" t="str">
        <f>INDEX(Sheet1!C$1:I$1, MATCH(1,Sheet1!C5:I5))</f>
        <v>lin</v>
      </c>
    </row>
    <row r="6" spans="1:3" x14ac:dyDescent="0.25">
      <c r="A6" t="s">
        <v>2</v>
      </c>
      <c r="B6" t="s">
        <v>7</v>
      </c>
      <c r="C6" t="str">
        <f>INDEX(Sheet1!C$1:I$1, MATCH(1,Sheet1!C6:I6))</f>
        <v>stat</v>
      </c>
    </row>
    <row r="7" spans="1:3" x14ac:dyDescent="0.25">
      <c r="A7" t="s">
        <v>2</v>
      </c>
      <c r="B7" t="s">
        <v>8</v>
      </c>
      <c r="C7" t="str">
        <f>INDEX(Sheet1!C$1:I$1, MATCH(1,Sheet1!C7:I7))</f>
        <v>misc</v>
      </c>
    </row>
    <row r="8" spans="1:3" x14ac:dyDescent="0.25">
      <c r="A8" t="s">
        <v>2</v>
      </c>
      <c r="B8" t="s">
        <v>9</v>
      </c>
      <c r="C8" t="str">
        <f>INDEX(Sheet1!C$1:I$1, MATCH(1,Sheet1!C8:I8))</f>
        <v>stat</v>
      </c>
    </row>
    <row r="9" spans="1:3" x14ac:dyDescent="0.25">
      <c r="A9" t="s">
        <v>2</v>
      </c>
      <c r="B9" t="s">
        <v>10</v>
      </c>
      <c r="C9" t="str">
        <f>INDEX(Sheet1!C$1:I$1, MATCH(1,Sheet1!C9:I9))</f>
        <v>stat</v>
      </c>
    </row>
    <row r="10" spans="1:3" x14ac:dyDescent="0.25">
      <c r="A10" t="s">
        <v>2</v>
      </c>
      <c r="B10" t="s">
        <v>11</v>
      </c>
      <c r="C10" t="str">
        <f>INDEX(Sheet1!C$1:I$1, MATCH(1,Sheet1!C10:I10))</f>
        <v>reg</v>
      </c>
    </row>
    <row r="11" spans="1:3" x14ac:dyDescent="0.25">
      <c r="A11" t="s">
        <v>2</v>
      </c>
      <c r="B11" t="s">
        <v>12</v>
      </c>
      <c r="C11" t="str">
        <f>INDEX(Sheet1!C$1:I$1, MATCH(1,Sheet1!C11:I11))</f>
        <v>reg</v>
      </c>
    </row>
    <row r="12" spans="1:3" x14ac:dyDescent="0.25">
      <c r="A12" t="s">
        <v>2</v>
      </c>
      <c r="B12" t="s">
        <v>13</v>
      </c>
      <c r="C12" t="str">
        <f>INDEX(Sheet1!C$1:I$1, MATCH(1,Sheet1!C12:I12))</f>
        <v>lin</v>
      </c>
    </row>
    <row r="13" spans="1:3" x14ac:dyDescent="0.25">
      <c r="A13" t="s">
        <v>2</v>
      </c>
      <c r="B13" t="s">
        <v>14</v>
      </c>
      <c r="C13" t="str">
        <f>INDEX(Sheet1!C$1:I$1, MATCH(1,Sheet1!C13:I13))</f>
        <v>lin</v>
      </c>
    </row>
    <row r="14" spans="1:3" x14ac:dyDescent="0.25">
      <c r="A14" t="s">
        <v>2</v>
      </c>
      <c r="B14" t="s">
        <v>15</v>
      </c>
      <c r="C14" t="str">
        <f>INDEX(Sheet1!C$1:I$1, MATCH(1,Sheet1!C14:I14))</f>
        <v>lin</v>
      </c>
    </row>
    <row r="15" spans="1:3" x14ac:dyDescent="0.25">
      <c r="A15" t="s">
        <v>2</v>
      </c>
      <c r="B15" t="s">
        <v>16</v>
      </c>
      <c r="C15" t="str">
        <f>INDEX(Sheet1!C$1:I$1, MATCH(1,Sheet1!C15:I15))</f>
        <v>reg</v>
      </c>
    </row>
    <row r="16" spans="1:3" x14ac:dyDescent="0.25">
      <c r="A16" t="s">
        <v>2</v>
      </c>
      <c r="B16" t="s">
        <v>17</v>
      </c>
      <c r="C16" t="str">
        <f>INDEX(Sheet1!C$1:I$1, MATCH(1,Sheet1!C16:I16))</f>
        <v>rnn</v>
      </c>
    </row>
    <row r="17" spans="1:3" x14ac:dyDescent="0.25">
      <c r="A17" t="s">
        <v>2</v>
      </c>
      <c r="B17" t="s">
        <v>18</v>
      </c>
      <c r="C17" t="str">
        <f>INDEX(Sheet1!C$1:I$1, MATCH(1,Sheet1!C17:I17))</f>
        <v>reg</v>
      </c>
    </row>
    <row r="18" spans="1:3" x14ac:dyDescent="0.25">
      <c r="A18" t="s">
        <v>2</v>
      </c>
      <c r="B18" t="s">
        <v>19</v>
      </c>
      <c r="C18" t="str">
        <f>INDEX(Sheet1!C$1:I$1, MATCH(1,Sheet1!C18:I18))</f>
        <v>cnn</v>
      </c>
    </row>
    <row r="19" spans="1:3" x14ac:dyDescent="0.25">
      <c r="A19" t="s">
        <v>2</v>
      </c>
      <c r="B19" t="s">
        <v>20</v>
      </c>
      <c r="C19" t="str">
        <f>INDEX(Sheet1!C$1:I$1, MATCH(1,Sheet1!C19:I19))</f>
        <v>stat</v>
      </c>
    </row>
    <row r="20" spans="1:3" x14ac:dyDescent="0.25">
      <c r="A20" t="s">
        <v>2</v>
      </c>
      <c r="B20" t="s">
        <v>131</v>
      </c>
      <c r="C20" t="str">
        <f>INDEX(Sheet1!C$1:I$1, MATCH(1,Sheet1!C20:I20))</f>
        <v>transf</v>
      </c>
    </row>
    <row r="21" spans="1:3" x14ac:dyDescent="0.25">
      <c r="A21" t="s">
        <v>2</v>
      </c>
      <c r="B21" t="s">
        <v>21</v>
      </c>
      <c r="C21" t="str">
        <f>INDEX(Sheet1!C$1:I$1, MATCH(1,Sheet1!C21:I21))</f>
        <v>lin</v>
      </c>
    </row>
    <row r="22" spans="1:3" x14ac:dyDescent="0.25">
      <c r="A22" t="s">
        <v>2</v>
      </c>
      <c r="B22" t="s">
        <v>22</v>
      </c>
      <c r="C22" t="str">
        <f>INDEX(Sheet1!C$1:I$1, MATCH(1,Sheet1!C22:I22))</f>
        <v>transf</v>
      </c>
    </row>
    <row r="23" spans="1:3" x14ac:dyDescent="0.25">
      <c r="A23" t="s">
        <v>2</v>
      </c>
      <c r="B23" t="s">
        <v>23</v>
      </c>
      <c r="C23" t="str">
        <f>INDEX(Sheet1!C$1:I$1, MATCH(1,Sheet1!C23:I23))</f>
        <v>lin</v>
      </c>
    </row>
    <row r="24" spans="1:3" x14ac:dyDescent="0.25">
      <c r="A24" t="s">
        <v>2</v>
      </c>
      <c r="B24" t="s">
        <v>24</v>
      </c>
      <c r="C24" t="str">
        <f>INDEX(Sheet1!C$1:I$1, MATCH(1,Sheet1!C24:I24))</f>
        <v>reg</v>
      </c>
    </row>
    <row r="25" spans="1:3" x14ac:dyDescent="0.25">
      <c r="A25" s="2" t="s">
        <v>25</v>
      </c>
      <c r="B25" t="s">
        <v>26</v>
      </c>
      <c r="C25" t="str">
        <f>INDEX(Sheet1!C$1:I$1, MATCH(1,Sheet1!C25:I25))</f>
        <v>transf</v>
      </c>
    </row>
    <row r="26" spans="1:3" x14ac:dyDescent="0.25">
      <c r="A26" t="s">
        <v>25</v>
      </c>
      <c r="B26" t="s">
        <v>27</v>
      </c>
      <c r="C26" t="str">
        <f>INDEX(Sheet1!C$1:I$1, MATCH(1,Sheet1!C26:I26))</f>
        <v>cnn</v>
      </c>
    </row>
    <row r="27" spans="1:3" x14ac:dyDescent="0.25">
      <c r="A27" t="s">
        <v>25</v>
      </c>
      <c r="B27" t="s">
        <v>28</v>
      </c>
      <c r="C27" t="str">
        <f>INDEX(Sheet1!C$1:I$1, MATCH(1,Sheet1!C27:I27))</f>
        <v>rnn</v>
      </c>
    </row>
    <row r="28" spans="1:3" x14ac:dyDescent="0.25">
      <c r="A28" t="s">
        <v>25</v>
      </c>
      <c r="B28" t="s">
        <v>29</v>
      </c>
      <c r="C28" t="str">
        <f>INDEX(Sheet1!C$1:I$1, MATCH(1,Sheet1!C28:I28))</f>
        <v>lin</v>
      </c>
    </row>
    <row r="29" spans="1:3" x14ac:dyDescent="0.25">
      <c r="A29" t="s">
        <v>25</v>
      </c>
      <c r="B29" t="s">
        <v>30</v>
      </c>
      <c r="C29" t="str">
        <f>INDEX(Sheet1!C$1:I$1, MATCH(1,Sheet1!C29:I29))</f>
        <v>rnn</v>
      </c>
    </row>
    <row r="30" spans="1:3" x14ac:dyDescent="0.25">
      <c r="A30" t="s">
        <v>25</v>
      </c>
      <c r="B30" t="s">
        <v>31</v>
      </c>
      <c r="C30" t="str">
        <f>INDEX(Sheet1!C$1:I$1, MATCH(1,Sheet1!C30:I30))</f>
        <v>lin</v>
      </c>
    </row>
    <row r="31" spans="1:3" x14ac:dyDescent="0.25">
      <c r="A31" t="s">
        <v>25</v>
      </c>
      <c r="B31" t="s">
        <v>32</v>
      </c>
      <c r="C31" t="str">
        <f>INDEX(Sheet1!C$1:I$1, MATCH(1,Sheet1!C31:I31))</f>
        <v>transf</v>
      </c>
    </row>
    <row r="32" spans="1:3" x14ac:dyDescent="0.25">
      <c r="A32" t="s">
        <v>25</v>
      </c>
      <c r="B32" t="s">
        <v>33</v>
      </c>
      <c r="C32" t="str">
        <f>INDEX(Sheet1!C$1:I$1, MATCH(1,Sheet1!C32:I32))</f>
        <v>rnn</v>
      </c>
    </row>
    <row r="33" spans="1:3" x14ac:dyDescent="0.25">
      <c r="A33" t="s">
        <v>25</v>
      </c>
      <c r="B33" t="s">
        <v>34</v>
      </c>
      <c r="C33" t="str">
        <f>INDEX(Sheet1!C$1:I$1, MATCH(1,Sheet1!C33:I33))</f>
        <v>transf</v>
      </c>
    </row>
    <row r="34" spans="1:3" x14ac:dyDescent="0.25">
      <c r="A34" t="s">
        <v>25</v>
      </c>
      <c r="B34" t="s">
        <v>35</v>
      </c>
      <c r="C34" t="str">
        <f>INDEX(Sheet1!C$1:I$1, MATCH(1,Sheet1!C34:I34))</f>
        <v>transf</v>
      </c>
    </row>
    <row r="35" spans="1:3" x14ac:dyDescent="0.25">
      <c r="A35" t="s">
        <v>25</v>
      </c>
      <c r="B35" t="s">
        <v>36</v>
      </c>
      <c r="C35" t="str">
        <f>INDEX(Sheet1!C$1:I$1, MATCH(1,Sheet1!C35:I35))</f>
        <v>misc</v>
      </c>
    </row>
    <row r="36" spans="1:3" x14ac:dyDescent="0.25">
      <c r="A36" t="s">
        <v>25</v>
      </c>
      <c r="B36" t="s">
        <v>37</v>
      </c>
      <c r="C36" t="str">
        <f>INDEX(Sheet1!C$1:I$1, MATCH(1,Sheet1!C36:I36))</f>
        <v>rnn</v>
      </c>
    </row>
    <row r="37" spans="1:3" x14ac:dyDescent="0.25">
      <c r="A37" t="s">
        <v>25</v>
      </c>
      <c r="B37" t="s">
        <v>38</v>
      </c>
      <c r="C37" t="str">
        <f>INDEX(Sheet1!C$1:I$1, MATCH(1,Sheet1!C37:I37))</f>
        <v>lin</v>
      </c>
    </row>
    <row r="38" spans="1:3" x14ac:dyDescent="0.25">
      <c r="A38" t="s">
        <v>25</v>
      </c>
      <c r="B38" t="s">
        <v>39</v>
      </c>
      <c r="C38" t="str">
        <f>INDEX(Sheet1!C$1:I$1, MATCH(1,Sheet1!C38:I38))</f>
        <v>lin</v>
      </c>
    </row>
    <row r="39" spans="1:3" x14ac:dyDescent="0.25">
      <c r="A39" t="s">
        <v>25</v>
      </c>
      <c r="B39" t="s">
        <v>40</v>
      </c>
      <c r="C39" t="str">
        <f>INDEX(Sheet1!C$1:I$1, MATCH(1,Sheet1!C39:I39))</f>
        <v>lin</v>
      </c>
    </row>
    <row r="40" spans="1:3" x14ac:dyDescent="0.25">
      <c r="A40" t="s">
        <v>25</v>
      </c>
      <c r="B40" t="s">
        <v>41</v>
      </c>
      <c r="C40" t="str">
        <f>INDEX(Sheet1!C$1:I$1, MATCH(1,Sheet1!C40:I40))</f>
        <v>lin</v>
      </c>
    </row>
    <row r="41" spans="1:3" x14ac:dyDescent="0.25">
      <c r="A41" t="s">
        <v>25</v>
      </c>
      <c r="B41" t="s">
        <v>42</v>
      </c>
      <c r="C41" t="str">
        <f>INDEX(Sheet1!C$1:I$1, MATCH(1,Sheet1!C41:I41))</f>
        <v>lin</v>
      </c>
    </row>
    <row r="42" spans="1:3" x14ac:dyDescent="0.25">
      <c r="A42" t="s">
        <v>25</v>
      </c>
      <c r="B42" t="s">
        <v>43</v>
      </c>
      <c r="C42" t="str">
        <f>INDEX(Sheet1!C$1:I$1, MATCH(1,Sheet1!C42:I42))</f>
        <v>lin</v>
      </c>
    </row>
    <row r="43" spans="1:3" x14ac:dyDescent="0.25">
      <c r="A43" t="s">
        <v>25</v>
      </c>
      <c r="B43" t="s">
        <v>44</v>
      </c>
      <c r="C43" t="str">
        <f>INDEX(Sheet1!C$1:I$1, MATCH(1,Sheet1!C43:I43))</f>
        <v>cnn</v>
      </c>
    </row>
    <row r="44" spans="1:3" x14ac:dyDescent="0.25">
      <c r="A44" t="s">
        <v>25</v>
      </c>
      <c r="B44" t="s">
        <v>45</v>
      </c>
      <c r="C44" t="str">
        <f>INDEX(Sheet1!C$1:I$1, MATCH(1,Sheet1!C44:I44))</f>
        <v>misc</v>
      </c>
    </row>
    <row r="45" spans="1:3" x14ac:dyDescent="0.25">
      <c r="A45" t="s">
        <v>25</v>
      </c>
      <c r="B45" t="s">
        <v>46</v>
      </c>
      <c r="C45" t="str">
        <f>INDEX(Sheet1!C$1:I$1, MATCH(1,Sheet1!C45:I45))</f>
        <v>rnn</v>
      </c>
    </row>
    <row r="46" spans="1:3" x14ac:dyDescent="0.25">
      <c r="A46" t="s">
        <v>25</v>
      </c>
      <c r="B46" t="s">
        <v>47</v>
      </c>
      <c r="C46" t="str">
        <f>INDEX(Sheet1!C$1:I$1, MATCH(1,Sheet1!C46:I46))</f>
        <v>cnn</v>
      </c>
    </row>
    <row r="47" spans="1:3" x14ac:dyDescent="0.25">
      <c r="A47" t="s">
        <v>25</v>
      </c>
      <c r="B47" t="s">
        <v>48</v>
      </c>
      <c r="C47" t="str">
        <f>INDEX(Sheet1!C$1:I$1, MATCH(1,Sheet1!C47:I47))</f>
        <v>lin</v>
      </c>
    </row>
    <row r="48" spans="1:3" x14ac:dyDescent="0.25">
      <c r="A48" t="s">
        <v>25</v>
      </c>
      <c r="B48" t="s">
        <v>49</v>
      </c>
      <c r="C48" t="str">
        <f>INDEX(Sheet1!C$1:I$1, MATCH(1,Sheet1!C48:I48))</f>
        <v>cnn</v>
      </c>
    </row>
    <row r="49" spans="1:3" x14ac:dyDescent="0.25">
      <c r="A49" t="s">
        <v>25</v>
      </c>
      <c r="B49" t="s">
        <v>50</v>
      </c>
      <c r="C49" t="str">
        <f>INDEX(Sheet1!C$1:I$1, MATCH(1,Sheet1!C49:I49))</f>
        <v>rnn</v>
      </c>
    </row>
    <row r="50" spans="1:3" x14ac:dyDescent="0.25">
      <c r="A50" t="s">
        <v>25</v>
      </c>
      <c r="B50" t="s">
        <v>51</v>
      </c>
      <c r="C50" t="str">
        <f>INDEX(Sheet1!C$1:I$1, MATCH(1,Sheet1!C50:I50))</f>
        <v>lin</v>
      </c>
    </row>
    <row r="51" spans="1:3" x14ac:dyDescent="0.25">
      <c r="A51" t="s">
        <v>25</v>
      </c>
      <c r="B51" t="s">
        <v>52</v>
      </c>
      <c r="C51" t="str">
        <f>INDEX(Sheet1!C$1:I$1, MATCH(1,Sheet1!C51:I51))</f>
        <v>lin</v>
      </c>
    </row>
    <row r="52" spans="1:3" x14ac:dyDescent="0.25">
      <c r="A52" t="s">
        <v>25</v>
      </c>
      <c r="B52" t="s">
        <v>53</v>
      </c>
      <c r="C52" t="str">
        <f>INDEX(Sheet1!C$1:I$1, MATCH(1,Sheet1!C52:I52))</f>
        <v>cnn</v>
      </c>
    </row>
    <row r="53" spans="1:3" x14ac:dyDescent="0.25">
      <c r="A53" t="s">
        <v>25</v>
      </c>
      <c r="B53" t="s">
        <v>54</v>
      </c>
      <c r="C53" t="str">
        <f>INDEX(Sheet1!C$1:I$1, MATCH(1,Sheet1!C53:I53))</f>
        <v>transf</v>
      </c>
    </row>
    <row r="54" spans="1:3" x14ac:dyDescent="0.25">
      <c r="A54" t="s">
        <v>25</v>
      </c>
      <c r="B54" t="s">
        <v>55</v>
      </c>
      <c r="C54" t="str">
        <f>INDEX(Sheet1!C$1:I$1, MATCH(1,Sheet1!C54:I54))</f>
        <v>lin</v>
      </c>
    </row>
    <row r="55" spans="1:3" x14ac:dyDescent="0.25">
      <c r="A55" t="s">
        <v>25</v>
      </c>
      <c r="B55" t="s">
        <v>56</v>
      </c>
      <c r="C55" t="str">
        <f>INDEX(Sheet1!C$1:I$1, MATCH(1,Sheet1!C55:I55))</f>
        <v>lin</v>
      </c>
    </row>
    <row r="56" spans="1:3" x14ac:dyDescent="0.25">
      <c r="A56" t="s">
        <v>25</v>
      </c>
      <c r="B56" t="s">
        <v>57</v>
      </c>
      <c r="C56" t="str">
        <f>INDEX(Sheet1!C$1:I$1, MATCH(1,Sheet1!C56:I56))</f>
        <v>transf</v>
      </c>
    </row>
    <row r="57" spans="1:3" x14ac:dyDescent="0.25">
      <c r="A57" t="s">
        <v>25</v>
      </c>
      <c r="B57" t="s">
        <v>58</v>
      </c>
      <c r="C57" t="str">
        <f>INDEX(Sheet1!C$1:I$1, MATCH(1,Sheet1!C57:I57))</f>
        <v>rnn</v>
      </c>
    </row>
    <row r="58" spans="1:3" x14ac:dyDescent="0.25">
      <c r="A58" s="2" t="s">
        <v>59</v>
      </c>
      <c r="B58" t="s">
        <v>60</v>
      </c>
      <c r="C58" t="str">
        <f>INDEX(Sheet1!C$1:I$1, MATCH(1,Sheet1!C58:I58))</f>
        <v>reg</v>
      </c>
    </row>
    <row r="59" spans="1:3" x14ac:dyDescent="0.25">
      <c r="A59" t="s">
        <v>59</v>
      </c>
      <c r="B59" t="s">
        <v>61</v>
      </c>
      <c r="C59" t="str">
        <f>INDEX(Sheet1!C$1:I$1, MATCH(1,Sheet1!C59:I59))</f>
        <v>reg</v>
      </c>
    </row>
    <row r="60" spans="1:3" x14ac:dyDescent="0.25">
      <c r="A60" t="s">
        <v>59</v>
      </c>
      <c r="B60" t="s">
        <v>62</v>
      </c>
      <c r="C60" t="str">
        <f>INDEX(Sheet1!C$1:I$1, MATCH(1,Sheet1!C60:I60))</f>
        <v>reg</v>
      </c>
    </row>
    <row r="61" spans="1:3" x14ac:dyDescent="0.25">
      <c r="A61" t="s">
        <v>59</v>
      </c>
      <c r="B61" t="s">
        <v>63</v>
      </c>
      <c r="C61" t="str">
        <f>INDEX(Sheet1!C$1:I$1, MATCH(1,Sheet1!C61:I61))</f>
        <v>reg</v>
      </c>
    </row>
    <row r="62" spans="1:3" x14ac:dyDescent="0.25">
      <c r="A62" t="s">
        <v>59</v>
      </c>
      <c r="B62" t="s">
        <v>64</v>
      </c>
      <c r="C62" t="str">
        <f>INDEX(Sheet1!C$1:I$1, MATCH(1,Sheet1!C62:I62))</f>
        <v>reg</v>
      </c>
    </row>
    <row r="63" spans="1:3" x14ac:dyDescent="0.25">
      <c r="A63" t="s">
        <v>59</v>
      </c>
      <c r="B63" t="s">
        <v>65</v>
      </c>
      <c r="C63" t="str">
        <f>INDEX(Sheet1!C$1:I$1, MATCH(1,Sheet1!C63:I63))</f>
        <v>reg</v>
      </c>
    </row>
    <row r="64" spans="1:3" x14ac:dyDescent="0.25">
      <c r="A64" t="s">
        <v>59</v>
      </c>
      <c r="B64" t="s">
        <v>66</v>
      </c>
      <c r="C64" t="str">
        <f>INDEX(Sheet1!C$1:I$1, MATCH(1,Sheet1!C64:I64))</f>
        <v>reg</v>
      </c>
    </row>
    <row r="65" spans="1:3" x14ac:dyDescent="0.25">
      <c r="A65" t="s">
        <v>59</v>
      </c>
      <c r="B65" t="s">
        <v>67</v>
      </c>
      <c r="C65" t="str">
        <f>INDEX(Sheet1!C$1:I$1, MATCH(1,Sheet1!C65:I65))</f>
        <v>reg</v>
      </c>
    </row>
    <row r="66" spans="1:3" x14ac:dyDescent="0.25">
      <c r="A66" t="s">
        <v>59</v>
      </c>
      <c r="B66" t="s">
        <v>68</v>
      </c>
      <c r="C66" t="str">
        <f>INDEX(Sheet1!C$1:I$1, MATCH(1,Sheet1!C66:I66))</f>
        <v>reg</v>
      </c>
    </row>
    <row r="67" spans="1:3" x14ac:dyDescent="0.25">
      <c r="A67" t="s">
        <v>59</v>
      </c>
      <c r="B67" t="s">
        <v>69</v>
      </c>
      <c r="C67" t="str">
        <f>INDEX(Sheet1!C$1:I$1, MATCH(1,Sheet1!C67:I67))</f>
        <v>reg</v>
      </c>
    </row>
    <row r="68" spans="1:3" x14ac:dyDescent="0.25">
      <c r="A68" t="s">
        <v>59</v>
      </c>
      <c r="B68" t="s">
        <v>70</v>
      </c>
      <c r="C68" t="str">
        <f>INDEX(Sheet1!C$1:I$1, MATCH(1,Sheet1!C68:I68))</f>
        <v>reg</v>
      </c>
    </row>
    <row r="69" spans="1:3" x14ac:dyDescent="0.25">
      <c r="A69" t="s">
        <v>59</v>
      </c>
      <c r="B69" t="s">
        <v>71</v>
      </c>
      <c r="C69" t="str">
        <f>INDEX(Sheet1!C$1:I$1, MATCH(1,Sheet1!C69:I69))</f>
        <v>reg</v>
      </c>
    </row>
    <row r="70" spans="1:3" x14ac:dyDescent="0.25">
      <c r="A70" t="s">
        <v>59</v>
      </c>
      <c r="B70" t="s">
        <v>72</v>
      </c>
      <c r="C70" t="str">
        <f>INDEX(Sheet1!C$1:I$1, MATCH(1,Sheet1!C70:I70))</f>
        <v>reg</v>
      </c>
    </row>
    <row r="71" spans="1:3" x14ac:dyDescent="0.25">
      <c r="A71" t="s">
        <v>59</v>
      </c>
      <c r="B71" t="s">
        <v>73</v>
      </c>
      <c r="C71" t="str">
        <f>INDEX(Sheet1!C$1:I$1, MATCH(1,Sheet1!C71:I71))</f>
        <v>reg</v>
      </c>
    </row>
    <row r="72" spans="1:3" x14ac:dyDescent="0.25">
      <c r="A72" t="s">
        <v>59</v>
      </c>
      <c r="B72" t="s">
        <v>74</v>
      </c>
      <c r="C72" t="str">
        <f>INDEX(Sheet1!C$1:I$1, MATCH(1,Sheet1!C72:I72))</f>
        <v>reg</v>
      </c>
    </row>
    <row r="73" spans="1:3" x14ac:dyDescent="0.25">
      <c r="A73" t="s">
        <v>59</v>
      </c>
      <c r="B73" t="s">
        <v>75</v>
      </c>
      <c r="C73" t="str">
        <f>INDEX(Sheet1!C$1:I$1, MATCH(1,Sheet1!C73:I73))</f>
        <v>reg</v>
      </c>
    </row>
    <row r="74" spans="1:3" x14ac:dyDescent="0.25">
      <c r="A74" t="s">
        <v>59</v>
      </c>
      <c r="B74" t="s">
        <v>76</v>
      </c>
      <c r="C74" t="str">
        <f>INDEX(Sheet1!C$1:I$1, MATCH(1,Sheet1!C74:I74))</f>
        <v>reg</v>
      </c>
    </row>
    <row r="75" spans="1:3" x14ac:dyDescent="0.25">
      <c r="A75" t="s">
        <v>59</v>
      </c>
      <c r="B75" t="s">
        <v>77</v>
      </c>
      <c r="C75" t="str">
        <f>INDEX(Sheet1!C$1:I$1, MATCH(1,Sheet1!C75:I75))</f>
        <v>reg</v>
      </c>
    </row>
    <row r="76" spans="1:3" x14ac:dyDescent="0.25">
      <c r="A76" t="s">
        <v>59</v>
      </c>
      <c r="B76" t="s">
        <v>78</v>
      </c>
      <c r="C76" t="str">
        <f>INDEX(Sheet1!C$1:I$1, MATCH(1,Sheet1!C76:I76))</f>
        <v>reg</v>
      </c>
    </row>
    <row r="77" spans="1:3" x14ac:dyDescent="0.25">
      <c r="A77" t="s">
        <v>59</v>
      </c>
      <c r="B77" t="s">
        <v>79</v>
      </c>
      <c r="C77" t="str">
        <f>INDEX(Sheet1!C$1:I$1, MATCH(1,Sheet1!C77:I77))</f>
        <v>reg</v>
      </c>
    </row>
    <row r="78" spans="1:3" x14ac:dyDescent="0.25">
      <c r="A78" t="s">
        <v>59</v>
      </c>
      <c r="B78" t="s">
        <v>80</v>
      </c>
      <c r="C78" t="str">
        <f>INDEX(Sheet1!C$1:I$1, MATCH(1,Sheet1!C78:I78))</f>
        <v>reg</v>
      </c>
    </row>
    <row r="79" spans="1:3" x14ac:dyDescent="0.25">
      <c r="A79" t="s">
        <v>59</v>
      </c>
      <c r="B79" t="s">
        <v>81</v>
      </c>
      <c r="C79" t="str">
        <f>INDEX(Sheet1!C$1:I$1, MATCH(1,Sheet1!C79:I79))</f>
        <v>reg</v>
      </c>
    </row>
    <row r="80" spans="1:3" x14ac:dyDescent="0.25">
      <c r="A80" s="2" t="s">
        <v>82</v>
      </c>
      <c r="B80" t="s">
        <v>83</v>
      </c>
      <c r="C80" t="str">
        <f>INDEX(Sheet1!C$1:I$1, MATCH(1,Sheet1!C80:I80))</f>
        <v>stat</v>
      </c>
    </row>
    <row r="81" spans="1:3" x14ac:dyDescent="0.25">
      <c r="A81" t="s">
        <v>82</v>
      </c>
      <c r="B81" t="s">
        <v>84</v>
      </c>
      <c r="C81" t="str">
        <f>INDEX(Sheet1!C$1:I$1, MATCH(1,Sheet1!C81:I81))</f>
        <v>stat</v>
      </c>
    </row>
    <row r="82" spans="1:3" x14ac:dyDescent="0.25">
      <c r="A82" t="s">
        <v>82</v>
      </c>
      <c r="B82" t="s">
        <v>85</v>
      </c>
      <c r="C82" t="str">
        <f>INDEX(Sheet1!C$1:I$1, MATCH(1,Sheet1!C82:I82))</f>
        <v>stat</v>
      </c>
    </row>
    <row r="83" spans="1:3" x14ac:dyDescent="0.25">
      <c r="A83" t="s">
        <v>82</v>
      </c>
      <c r="B83" t="s">
        <v>86</v>
      </c>
      <c r="C83" t="str">
        <f>INDEX(Sheet1!C$1:I$1, MATCH(1,Sheet1!C83:I83))</f>
        <v>stat</v>
      </c>
    </row>
    <row r="84" spans="1:3" x14ac:dyDescent="0.25">
      <c r="A84" t="s">
        <v>82</v>
      </c>
      <c r="B84" t="s">
        <v>87</v>
      </c>
      <c r="C84" t="str">
        <f>INDEX(Sheet1!C$1:I$1, MATCH(1,Sheet1!C84:I84))</f>
        <v>stat</v>
      </c>
    </row>
    <row r="85" spans="1:3" x14ac:dyDescent="0.25">
      <c r="A85" t="s">
        <v>82</v>
      </c>
      <c r="B85" t="s">
        <v>88</v>
      </c>
      <c r="C85" t="str">
        <f>INDEX(Sheet1!C$1:I$1, MATCH(1,Sheet1!C85:I85))</f>
        <v>stat</v>
      </c>
    </row>
    <row r="86" spans="1:3" x14ac:dyDescent="0.25">
      <c r="A86" t="s">
        <v>82</v>
      </c>
      <c r="B86" t="s">
        <v>89</v>
      </c>
      <c r="C86" t="str">
        <f>INDEX(Sheet1!C$1:I$1, MATCH(1,Sheet1!C86:I86))</f>
        <v>reg</v>
      </c>
    </row>
    <row r="87" spans="1:3" x14ac:dyDescent="0.25">
      <c r="A87" t="s">
        <v>82</v>
      </c>
      <c r="B87" t="s">
        <v>90</v>
      </c>
      <c r="C87" t="str">
        <f>INDEX(Sheet1!C$1:I$1, MATCH(1,Sheet1!C87:I87))</f>
        <v>reg</v>
      </c>
    </row>
    <row r="88" spans="1:3" x14ac:dyDescent="0.25">
      <c r="A88" t="s">
        <v>82</v>
      </c>
      <c r="B88" t="s">
        <v>91</v>
      </c>
      <c r="C88" t="str">
        <f>INDEX(Sheet1!C$1:I$1, MATCH(1,Sheet1!C88:I88))</f>
        <v>reg</v>
      </c>
    </row>
    <row r="89" spans="1:3" x14ac:dyDescent="0.25">
      <c r="A89" t="s">
        <v>82</v>
      </c>
      <c r="B89" t="s">
        <v>7</v>
      </c>
      <c r="C89" t="str">
        <f>INDEX(Sheet1!C$1:I$1, MATCH(1,Sheet1!C89:I89))</f>
        <v>stat</v>
      </c>
    </row>
    <row r="90" spans="1:3" x14ac:dyDescent="0.25">
      <c r="A90" t="s">
        <v>82</v>
      </c>
      <c r="B90" t="s">
        <v>92</v>
      </c>
      <c r="C90" t="str">
        <f>INDEX(Sheet1!C$1:I$1, MATCH(1,Sheet1!C90:I90))</f>
        <v>transf</v>
      </c>
    </row>
    <row r="91" spans="1:3" x14ac:dyDescent="0.25">
      <c r="A91" t="s">
        <v>82</v>
      </c>
      <c r="B91" t="s">
        <v>93</v>
      </c>
      <c r="C91" t="str">
        <f>INDEX(Sheet1!C$1:I$1, MATCH(1,Sheet1!C91:I91))</f>
        <v>transf</v>
      </c>
    </row>
    <row r="92" spans="1:3" x14ac:dyDescent="0.25">
      <c r="A92" t="s">
        <v>82</v>
      </c>
      <c r="B92" t="s">
        <v>94</v>
      </c>
      <c r="C92" t="str">
        <f>INDEX(Sheet1!C$1:I$1, MATCH(1,Sheet1!C92:I92))</f>
        <v>transf</v>
      </c>
    </row>
    <row r="93" spans="1:3" x14ac:dyDescent="0.25">
      <c r="A93" t="s">
        <v>82</v>
      </c>
      <c r="B93" t="s">
        <v>95</v>
      </c>
      <c r="C93" t="str">
        <f>INDEX(Sheet1!C$1:I$1, MATCH(1,Sheet1!C93:I93))</f>
        <v>transf</v>
      </c>
    </row>
    <row r="94" spans="1:3" x14ac:dyDescent="0.25">
      <c r="A94" t="s">
        <v>82</v>
      </c>
      <c r="B94" t="s">
        <v>96</v>
      </c>
      <c r="C94" t="str">
        <f>INDEX(Sheet1!C$1:I$1, MATCH(1,Sheet1!C94:I94))</f>
        <v>reg</v>
      </c>
    </row>
    <row r="95" spans="1:3" x14ac:dyDescent="0.25">
      <c r="A95" t="s">
        <v>82</v>
      </c>
      <c r="B95" t="s">
        <v>97</v>
      </c>
      <c r="C95" t="str">
        <f>INDEX(Sheet1!C$1:I$1, MATCH(1,Sheet1!C95:I95))</f>
        <v>reg</v>
      </c>
    </row>
    <row r="96" spans="1:3" x14ac:dyDescent="0.25">
      <c r="A96" t="s">
        <v>82</v>
      </c>
      <c r="B96" t="s">
        <v>98</v>
      </c>
      <c r="C96" t="str">
        <f>INDEX(Sheet1!C$1:I$1, MATCH(1,Sheet1!C96:I96))</f>
        <v>stat</v>
      </c>
    </row>
    <row r="97" spans="1:3" x14ac:dyDescent="0.25">
      <c r="A97" t="s">
        <v>82</v>
      </c>
      <c r="B97" t="s">
        <v>99</v>
      </c>
      <c r="C97" t="str">
        <f>INDEX(Sheet1!C$1:I$1, MATCH(1,Sheet1!C97:I97))</f>
        <v>stat</v>
      </c>
    </row>
    <row r="98" spans="1:3" x14ac:dyDescent="0.25">
      <c r="A98" t="s">
        <v>82</v>
      </c>
      <c r="B98" t="s">
        <v>100</v>
      </c>
      <c r="C98" t="str">
        <f>INDEX(Sheet1!C$1:I$1, MATCH(1,Sheet1!C98:I98))</f>
        <v>stat</v>
      </c>
    </row>
    <row r="99" spans="1:3" x14ac:dyDescent="0.25">
      <c r="A99" t="s">
        <v>82</v>
      </c>
      <c r="B99" t="s">
        <v>101</v>
      </c>
      <c r="C99" t="str">
        <f>INDEX(Sheet1!C$1:I$1, MATCH(1,Sheet1!C99:I99))</f>
        <v>stat</v>
      </c>
    </row>
    <row r="100" spans="1:3" x14ac:dyDescent="0.25">
      <c r="A100" t="s">
        <v>82</v>
      </c>
      <c r="B100" t="s">
        <v>102</v>
      </c>
      <c r="C100" t="str">
        <f>INDEX(Sheet1!C$1:I$1, MATCH(1,Sheet1!C100:I100))</f>
        <v>stat</v>
      </c>
    </row>
    <row r="101" spans="1:3" x14ac:dyDescent="0.25">
      <c r="A101" t="s">
        <v>82</v>
      </c>
      <c r="B101" t="s">
        <v>103</v>
      </c>
      <c r="C101" t="str">
        <f>INDEX(Sheet1!C$1:I$1, MATCH(1,Sheet1!C101:I101))</f>
        <v>stat</v>
      </c>
    </row>
    <row r="102" spans="1:3" x14ac:dyDescent="0.25">
      <c r="A102" t="s">
        <v>82</v>
      </c>
      <c r="B102" t="s">
        <v>104</v>
      </c>
      <c r="C102" t="str">
        <f>INDEX(Sheet1!C$1:I$1, MATCH(1,Sheet1!C102:I102))</f>
        <v>stat</v>
      </c>
    </row>
    <row r="103" spans="1:3" x14ac:dyDescent="0.25">
      <c r="A103" t="s">
        <v>82</v>
      </c>
      <c r="B103" t="s">
        <v>105</v>
      </c>
      <c r="C103" t="str">
        <f>INDEX(Sheet1!C$1:I$1, MATCH(1,Sheet1!C103:I103))</f>
        <v>stat</v>
      </c>
    </row>
    <row r="104" spans="1:3" x14ac:dyDescent="0.25">
      <c r="A104" t="s">
        <v>82</v>
      </c>
      <c r="B104" t="s">
        <v>106</v>
      </c>
      <c r="C104" t="str">
        <f>INDEX(Sheet1!C$1:I$1, MATCH(1,Sheet1!C104:I104))</f>
        <v>stat</v>
      </c>
    </row>
    <row r="105" spans="1:3" x14ac:dyDescent="0.25">
      <c r="A105" t="s">
        <v>82</v>
      </c>
      <c r="B105" t="s">
        <v>107</v>
      </c>
      <c r="C105" t="str">
        <f>INDEX(Sheet1!C$1:I$1, MATCH(1,Sheet1!C105:I105))</f>
        <v>stat</v>
      </c>
    </row>
    <row r="106" spans="1:3" x14ac:dyDescent="0.25">
      <c r="A106" s="2" t="s">
        <v>114</v>
      </c>
      <c r="B106" t="s">
        <v>3</v>
      </c>
      <c r="C106" t="str">
        <f>INDEX(Sheet1!C$1:I$1, MATCH(1,Sheet1!C108:I108))</f>
        <v>stat</v>
      </c>
    </row>
    <row r="107" spans="1:3" x14ac:dyDescent="0.25">
      <c r="A107" t="s">
        <v>114</v>
      </c>
      <c r="B107" t="s">
        <v>115</v>
      </c>
      <c r="C107" t="str">
        <f>INDEX(Sheet1!C$1:I$1, MATCH(1,Sheet1!C109:I109))</f>
        <v>stat</v>
      </c>
    </row>
    <row r="108" spans="1:3" x14ac:dyDescent="0.25">
      <c r="A108" t="s">
        <v>114</v>
      </c>
      <c r="B108" t="s">
        <v>116</v>
      </c>
      <c r="C108" t="str">
        <f>INDEX(Sheet1!C$1:I$1, MATCH(1,Sheet1!C110:I110))</f>
        <v>stat</v>
      </c>
    </row>
    <row r="109" spans="1:3" x14ac:dyDescent="0.25">
      <c r="A109" t="s">
        <v>114</v>
      </c>
      <c r="B109" t="s">
        <v>84</v>
      </c>
      <c r="C109" t="str">
        <f>INDEX(Sheet1!C$1:I$1, MATCH(1,Sheet1!C111:I111))</f>
        <v>stat</v>
      </c>
    </row>
    <row r="110" spans="1:3" x14ac:dyDescent="0.25">
      <c r="A110" t="s">
        <v>114</v>
      </c>
      <c r="B110" t="s">
        <v>117</v>
      </c>
      <c r="C110" t="str">
        <f>INDEX(Sheet1!C$1:I$1, MATCH(1,Sheet1!C112:I112))</f>
        <v>stat</v>
      </c>
    </row>
    <row r="111" spans="1:3" x14ac:dyDescent="0.25">
      <c r="A111" t="s">
        <v>114</v>
      </c>
      <c r="B111" t="s">
        <v>118</v>
      </c>
      <c r="C111" t="str">
        <f>INDEX(Sheet1!C$1:I$1, MATCH(1,Sheet1!C113:I113))</f>
        <v>stat</v>
      </c>
    </row>
    <row r="112" spans="1:3" x14ac:dyDescent="0.25">
      <c r="A112" s="2" t="s">
        <v>108</v>
      </c>
      <c r="B112" t="s">
        <v>109</v>
      </c>
      <c r="C112" t="str">
        <f>INDEX(Sheet1!C$1:I$1, MATCH(1,Sheet1!C114:I114))</f>
        <v>reg</v>
      </c>
    </row>
    <row r="113" spans="1:3" x14ac:dyDescent="0.25">
      <c r="A113" t="s">
        <v>108</v>
      </c>
      <c r="B113" t="s">
        <v>110</v>
      </c>
      <c r="C113" t="str">
        <f>INDEX(Sheet1!C$1:I$1, MATCH(1,Sheet1!C115:I115))</f>
        <v>reg</v>
      </c>
    </row>
    <row r="114" spans="1:3" x14ac:dyDescent="0.25">
      <c r="A114" t="s">
        <v>108</v>
      </c>
      <c r="B114" t="s">
        <v>111</v>
      </c>
      <c r="C114" t="str">
        <f>INDEX(Sheet1!C$1:I$1, MATCH(1,Sheet1!C116:I116))</f>
        <v>reg</v>
      </c>
    </row>
    <row r="115" spans="1:3" x14ac:dyDescent="0.25">
      <c r="A115" t="s">
        <v>108</v>
      </c>
      <c r="B115" t="s">
        <v>112</v>
      </c>
      <c r="C115" t="str">
        <f>INDEX(Sheet1!C$1:I$1, MATCH(1,Sheet1!C117:I117))</f>
        <v>reg</v>
      </c>
    </row>
    <row r="116" spans="1:3" x14ac:dyDescent="0.25">
      <c r="A116" t="s">
        <v>108</v>
      </c>
      <c r="B116" t="s">
        <v>113</v>
      </c>
      <c r="C116" t="str">
        <f>INDEX(Sheet1!C$1:I$1, MATCH(1,Sheet1!C118:I118))</f>
        <v>reg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Corrado Mio</dc:creator>
  <cp:lastModifiedBy>Corrado Mio</cp:lastModifiedBy>
  <dcterms:created xsi:type="dcterms:W3CDTF">2026-05-04T05:32:44Z</dcterms:created>
  <dcterms:modified xsi:type="dcterms:W3CDTF">2026-05-27T13:22:46Z</dcterms:modified>
</cp:coreProperties>
</file>